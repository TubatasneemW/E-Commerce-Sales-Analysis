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7940518B-6EA7-4537-9026-8A8FA045F538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Raw_Data" sheetId="1" r:id="rId1"/>
    <sheet name="Project_Guide" sheetId="2" r:id="rId2"/>
    <sheet name="Cleaned_Data" sheetId="3" r:id="rId3"/>
    <sheet name="Analysis" sheetId="4" r:id="rId4"/>
    <sheet name="Dashboard" sheetId="5" r:id="rId5"/>
  </sheets>
  <definedNames>
    <definedName name="_xlnm._FilterDatabase" localSheetId="0" hidden="1">Raw_Data!$A$1:$J$53</definedName>
    <definedName name="_xlnm._FilterDatabase" localSheetId="2" hidden="1">Cleaned_Data!$A$1:$J$51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E7" i="5"/>
  <c r="C7" i="5"/>
  <c r="A7" i="5"/>
  <c r="G68" i="4"/>
  <c r="G69" i="4"/>
  <c r="F67" i="4"/>
  <c r="F58" i="4"/>
  <c r="F59" i="4"/>
  <c r="F36" i="4" a="1"/>
  <c r="F28" i="4" a="1"/>
  <c r="F28" i="4"/>
  <c r="F23" i="4" a="1"/>
  <c r="F23" i="4"/>
  <c r="A12" i="4" a="1"/>
  <c r="A12" i="4"/>
  <c r="B8" i="4"/>
  <c r="B7" i="4"/>
  <c r="B6" i="4"/>
  <c r="B5" i="4"/>
  <c r="B4" i="4"/>
  <c r="B3" i="4"/>
  <c r="B2" i="4"/>
  <c r="H23" i="4" l="1"/>
  <c r="G23" i="4"/>
  <c r="H24" i="4"/>
  <c r="G24" i="4"/>
  <c r="H28" i="4"/>
  <c r="G28" i="4"/>
  <c r="H29" i="4"/>
  <c r="H30" i="4"/>
  <c r="H31" i="4"/>
  <c r="H32" i="4"/>
  <c r="G29" i="4"/>
  <c r="G30" i="4"/>
  <c r="G31" i="4"/>
  <c r="G32" i="4"/>
  <c r="F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F60" i="4"/>
  <c r="I59" i="4"/>
  <c r="H59" i="4"/>
  <c r="G59" i="4"/>
  <c r="I58" i="4"/>
  <c r="H58" i="4"/>
  <c r="G58" i="4"/>
  <c r="D12" i="4"/>
  <c r="C12" i="4"/>
  <c r="B12" i="4"/>
  <c r="D13" i="4"/>
  <c r="D14" i="4"/>
  <c r="D15" i="4"/>
  <c r="D16" i="4"/>
  <c r="D17" i="4"/>
  <c r="D18" i="4"/>
  <c r="D19" i="4"/>
  <c r="D20" i="4"/>
  <c r="C13" i="4"/>
  <c r="C14" i="4"/>
  <c r="C15" i="4"/>
  <c r="C16" i="4"/>
  <c r="C17" i="4"/>
  <c r="C18" i="4"/>
  <c r="C19" i="4"/>
  <c r="C20" i="4"/>
  <c r="B13" i="4"/>
  <c r="B14" i="4"/>
  <c r="B15" i="4"/>
  <c r="B16" i="4"/>
  <c r="B17" i="4"/>
  <c r="B18" i="4"/>
  <c r="B19" i="4"/>
  <c r="B20" i="4"/>
  <c r="F11" i="4" l="1" a="1"/>
  <c r="F11" i="4" s="1"/>
  <c r="F61" i="4"/>
  <c r="I60" i="4"/>
  <c r="H60" i="4"/>
  <c r="G60" i="4"/>
  <c r="H36" i="4"/>
  <c r="J52" i="4" s="1"/>
  <c r="J53" i="4" s="1"/>
  <c r="G36" i="4"/>
  <c r="K54" i="4" l="1"/>
  <c r="J36" i="4" a="1"/>
  <c r="J36" i="4" s="1"/>
  <c r="F62" i="4"/>
  <c r="I61" i="4"/>
  <c r="H61" i="4"/>
  <c r="G61" i="4"/>
  <c r="F63" i="4" l="1"/>
  <c r="I62" i="4"/>
  <c r="H62" i="4"/>
  <c r="G62" i="4"/>
  <c r="I63" i="4" l="1"/>
  <c r="H63" i="4"/>
  <c r="G63" i="4"/>
  <c r="F6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<sst xmlns="http://schemas.openxmlformats.org/spreadsheetml/2006/main" count="581" uniqueCount="134">
  <si>
    <t>Order ID</t>
  </si>
  <si>
    <t>Order Date</t>
  </si>
  <si>
    <t>Customer</t>
  </si>
  <si>
    <t>Region</t>
  </si>
  <si>
    <t>Category</t>
  </si>
  <si>
    <t>Product</t>
  </si>
  <si>
    <t>Quantity</t>
  </si>
  <si>
    <t>Sales</t>
  </si>
  <si>
    <t>Discount</t>
  </si>
  <si>
    <t>Profit</t>
  </si>
  <si>
    <t>ORD001</t>
  </si>
  <si>
    <t>Rahul</t>
  </si>
  <si>
    <t>North</t>
  </si>
  <si>
    <t>Electronics</t>
  </si>
  <si>
    <t>Mouse</t>
  </si>
  <si>
    <t>ORD002</t>
  </si>
  <si>
    <t>Fatima</t>
  </si>
  <si>
    <t>Furniture</t>
  </si>
  <si>
    <t>Desk Lamp</t>
  </si>
  <si>
    <t>ORD003</t>
  </si>
  <si>
    <t>Arjun</t>
  </si>
  <si>
    <t>Bookshelf</t>
  </si>
  <si>
    <t>ORD004</t>
  </si>
  <si>
    <t>Priya</t>
  </si>
  <si>
    <t>Monitor</t>
  </si>
  <si>
    <t>ORD005</t>
  </si>
  <si>
    <t>Sneha</t>
  </si>
  <si>
    <t>south</t>
  </si>
  <si>
    <t>Smartphone</t>
  </si>
  <si>
    <t>ORD006</t>
  </si>
  <si>
    <t>Rohan</t>
  </si>
  <si>
    <t>East</t>
  </si>
  <si>
    <t>Laptop</t>
  </si>
  <si>
    <t>ORD007</t>
  </si>
  <si>
    <t>ORD008</t>
  </si>
  <si>
    <t xml:space="preserve"> South </t>
  </si>
  <si>
    <t>ORD009</t>
  </si>
  <si>
    <t>West</t>
  </si>
  <si>
    <t>Headphones</t>
  </si>
  <si>
    <t>ORD010</t>
  </si>
  <si>
    <t>ORD011</t>
  </si>
  <si>
    <t>South</t>
  </si>
  <si>
    <t>ORD012</t>
  </si>
  <si>
    <t>Ananya</t>
  </si>
  <si>
    <t>electronics</t>
  </si>
  <si>
    <t>ORD013</t>
  </si>
  <si>
    <t>ORD014</t>
  </si>
  <si>
    <t>Neha</t>
  </si>
  <si>
    <t>ORD015</t>
  </si>
  <si>
    <t>ORD016</t>
  </si>
  <si>
    <t xml:space="preserve"> Laptop </t>
  </si>
  <si>
    <t>ORD017</t>
  </si>
  <si>
    <t>ORD018</t>
  </si>
  <si>
    <t>ORD019</t>
  </si>
  <si>
    <t>ORD020</t>
  </si>
  <si>
    <t>Aditya</t>
  </si>
  <si>
    <t>ORD021</t>
  </si>
  <si>
    <t>Zoya</t>
  </si>
  <si>
    <t>ORD022</t>
  </si>
  <si>
    <t>Keyboard</t>
  </si>
  <si>
    <t>ORD023</t>
  </si>
  <si>
    <t>ORD024</t>
  </si>
  <si>
    <t>ORD025</t>
  </si>
  <si>
    <t>ORD026</t>
  </si>
  <si>
    <t>Vikram</t>
  </si>
  <si>
    <t>ORD027</t>
  </si>
  <si>
    <t>ORD028</t>
  </si>
  <si>
    <t xml:space="preserve">  Neha  </t>
  </si>
  <si>
    <t>ORD029</t>
  </si>
  <si>
    <t>ORD030</t>
  </si>
  <si>
    <t>ORD031</t>
  </si>
  <si>
    <t>ORD032</t>
  </si>
  <si>
    <t xml:space="preserve">Furniture </t>
  </si>
  <si>
    <t>ORD033</t>
  </si>
  <si>
    <t>ORD034</t>
  </si>
  <si>
    <t>ORD035</t>
  </si>
  <si>
    <t>ORD036</t>
  </si>
  <si>
    <t>Sara</t>
  </si>
  <si>
    <t>mouse</t>
  </si>
  <si>
    <t>ORD037</t>
  </si>
  <si>
    <t>ORD038</t>
  </si>
  <si>
    <t>ORD039</t>
  </si>
  <si>
    <t>Aisha</t>
  </si>
  <si>
    <t>ORD040</t>
  </si>
  <si>
    <t>ORD041</t>
  </si>
  <si>
    <t>ORD042</t>
  </si>
  <si>
    <t>ORD043</t>
  </si>
  <si>
    <t>ORD044</t>
  </si>
  <si>
    <t>Study Table</t>
  </si>
  <si>
    <t>ORD045</t>
  </si>
  <si>
    <t xml:space="preserve">NORTH </t>
  </si>
  <si>
    <t>ORD046</t>
  </si>
  <si>
    <t>ORD047</t>
  </si>
  <si>
    <t>ORD048</t>
  </si>
  <si>
    <t>ORD049</t>
  </si>
  <si>
    <t>ORD050</t>
  </si>
  <si>
    <t>E-Commerce Sales &amp; Profit Analysis</t>
  </si>
  <si>
    <t>Project workflow</t>
  </si>
  <si>
    <t>1. Raw_Data → inspect and identify data-quality problems</t>
  </si>
  <si>
    <t>2. Cleaned_Data → remove duplicates, clean text, handle blanks/errors</t>
  </si>
  <si>
    <t>3. Analysis → formulas, lookups, date analysis and business classifications</t>
  </si>
  <si>
    <t>4. PivotTables → category, region, product and monthly analysis</t>
  </si>
  <si>
    <t>5. Charts → column, bar, line, pie/donut and combo charts</t>
  </si>
  <si>
    <t>6. Dashboard → KPIs, charts, slicers and business insights</t>
  </si>
  <si>
    <t>7. GitHub → README, screenshots and final Excel workbook</t>
  </si>
  <si>
    <t>Important</t>
  </si>
  <si>
    <t>Do not modify Raw_Data. Treat it as the original source file.</t>
  </si>
  <si>
    <t>We will build every other sheet step-by-step.</t>
  </si>
  <si>
    <t>Unknown</t>
  </si>
  <si>
    <t xml:space="preserve">North </t>
  </si>
  <si>
    <t>Metric</t>
  </si>
  <si>
    <t>Value</t>
  </si>
  <si>
    <t>Total Sales</t>
  </si>
  <si>
    <t>Total Profit</t>
  </si>
  <si>
    <t>Average Sales</t>
  </si>
  <si>
    <t>Total Orders</t>
  </si>
  <si>
    <t>Highest Sale</t>
  </si>
  <si>
    <t>Total Quantity Sold</t>
  </si>
  <si>
    <t>Average Discount</t>
  </si>
  <si>
    <t>Quantity Sold</t>
  </si>
  <si>
    <t>Month</t>
  </si>
  <si>
    <t>Orders</t>
  </si>
  <si>
    <t>E-Commerce Sales Analysis Dashboard</t>
  </si>
  <si>
    <t>Business Performance Overview</t>
  </si>
  <si>
    <t>Average Order Value</t>
  </si>
  <si>
    <t>Insights:</t>
  </si>
  <si>
    <r>
      <t>Total Sales:</t>
    </r>
    <r>
      <rPr>
        <sz val="14"/>
        <color theme="1"/>
        <rFont val="Times New Roman"/>
      </rPr>
      <t xml:space="preserve"> ₹18,97,020</t>
    </r>
  </si>
  <si>
    <r>
      <t>Total Profit:</t>
    </r>
    <r>
      <rPr>
        <sz val="14"/>
        <color theme="1"/>
        <rFont val="Times New Roman"/>
      </rPr>
      <t xml:space="preserve"> ₹3,41,238.71</t>
    </r>
  </si>
  <si>
    <r>
      <t>Total Orders:</t>
    </r>
    <r>
      <rPr>
        <sz val="14"/>
        <color theme="1"/>
        <rFont val="Times New Roman"/>
      </rPr>
      <t xml:space="preserve"> 50</t>
    </r>
  </si>
  <si>
    <r>
      <t>Average Order Value:</t>
    </r>
    <r>
      <rPr>
        <sz val="14"/>
        <color theme="1"/>
        <rFont val="Times New Roman"/>
      </rPr>
      <t xml:space="preserve"> ₹37,940.40</t>
    </r>
  </si>
  <si>
    <r>
      <t>Laptop</t>
    </r>
    <r>
      <rPr>
        <sz val="14"/>
        <color theme="1"/>
        <rFont val="Times New Roman"/>
      </rPr>
      <t xml:space="preserve"> contributes the highest product sales.</t>
    </r>
  </si>
  <si>
    <r>
      <t>Electronics</t>
    </r>
    <r>
      <rPr>
        <sz val="14"/>
        <color theme="1"/>
        <rFont val="Times New Roman"/>
      </rPr>
      <t xml:space="preserve"> contributes substantially more sales than Furniture.</t>
    </r>
  </si>
  <si>
    <r>
      <t>East</t>
    </r>
    <r>
      <rPr>
        <sz val="14"/>
        <color theme="1"/>
        <rFont val="Times New Roman"/>
      </rPr>
      <t xml:space="preserve"> region has the highest sales and profit among the listed regions.</t>
    </r>
  </si>
  <si>
    <r>
      <t>May</t>
    </r>
    <r>
      <rPr>
        <sz val="14"/>
        <color theme="1"/>
        <rFont val="Times New Roman"/>
      </rPr>
      <t xml:space="preserve"> has the highest number of orders.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</si>
</sst>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Rockwell"/>
    </font>
    <font>
      <b/>
      <sz val="14"/>
      <color theme="1"/>
      <name val="Times New Roman"/>
    </font>
    <font>
      <sz val="14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3" borderId="1" xfId="0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6" fillId="4" borderId="3" xfId="0" applyFont="1" applyFill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/>
    <xf numFmtId="0" fontId="7" fillId="0" borderId="5" xfId="0" applyFont="1" applyBorder="1" applyAlignment="1"/>
    <xf numFmtId="0" fontId="7" fillId="0" borderId="6" xfId="0" applyFont="1" applyBorder="1" applyAlignment="1"/>
    <xf numFmtId="0" fontId="7" fillId="0" borderId="7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Analysis!$G$57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Analysis!$F$58:$F$63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Analysis!$G$58:$G$63</c:f>
              <c:numCache>
                <c:formatCode>General</c:formatCode>
                <c:ptCount val="6"/>
                <c:pt idx="0">
                  <c:v>576350</c:v>
                </c:pt>
                <c:pt idx="1">
                  <c:v>129080</c:v>
                </c:pt>
                <c:pt idx="2">
                  <c:v>206925</c:v>
                </c:pt>
                <c:pt idx="3">
                  <c:v>280755</c:v>
                </c:pt>
                <c:pt idx="4">
                  <c:v>460190</c:v>
                </c:pt>
                <c:pt idx="5">
                  <c:v>243720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0-4CE2-9F9D-CDE549A7E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607943"/>
        <c:axId val="2125609991"/>
      </c:barChart>
      <c:dateAx>
        <c:axId val="2125607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9991"/>
        <c:crosses val="autoZero"/>
        <c:auto val="1"/>
        <c:lblOffset val="100"/>
        <c:baseTimeUnit val="months"/>
      </c:dateAx>
      <c:valAx>
        <c:axId val="212560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Analysis!$H$57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Analysis!$F$58:$F$63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Analysis!$H$58:$H$63</c:f>
              <c:numCache>
                <c:formatCode>General</c:formatCode>
                <c:ptCount val="6"/>
                <c:pt idx="0">
                  <c:v>110147.12000000001</c:v>
                </c:pt>
                <c:pt idx="1">
                  <c:v>18471.28</c:v>
                </c:pt>
                <c:pt idx="2">
                  <c:v>31350.12</c:v>
                </c:pt>
                <c:pt idx="3">
                  <c:v>61627.030000000006</c:v>
                </c:pt>
                <c:pt idx="4">
                  <c:v>83992.2</c:v>
                </c:pt>
                <c:pt idx="5">
                  <c:v>35650.959999999999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F-4737-933C-BD758FB6A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6385288"/>
        <c:axId val="1756387336"/>
      </c:barChart>
      <c:dateAx>
        <c:axId val="1756385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387336"/>
        <c:crosses val="autoZero"/>
        <c:auto val="1"/>
        <c:lblOffset val="100"/>
        <c:baseTimeUnit val="months"/>
      </c:dateAx>
      <c:valAx>
        <c:axId val="175638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385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Analysis!$A$12:$A$20</c:f>
              <c:strCache>
                <c:ptCount val="9"/>
                <c:pt idx="0">
                  <c:v>Mouse</c:v>
                </c:pt>
                <c:pt idx="1">
                  <c:v>Desk Lamp</c:v>
                </c:pt>
                <c:pt idx="2">
                  <c:v>Bookshelf</c:v>
                </c:pt>
                <c:pt idx="3">
                  <c:v>Monitor</c:v>
                </c:pt>
                <c:pt idx="4">
                  <c:v>Smartphone</c:v>
                </c:pt>
                <c:pt idx="5">
                  <c:v>Laptop</c:v>
                </c:pt>
                <c:pt idx="6">
                  <c:v>Headphones</c:v>
                </c:pt>
                <c:pt idx="7">
                  <c:v>Keyboard</c:v>
                </c:pt>
                <c:pt idx="8">
                  <c:v>Study Table</c:v>
                </c:pt>
              </c:strCache>
            </c:strRef>
          </c:cat>
          <c:val>
            <c:numRef>
              <c:f>Analysis!$B$12:$B$20</c:f>
              <c:numCache>
                <c:formatCode>General</c:formatCode>
                <c:ptCount val="9"/>
                <c:pt idx="0">
                  <c:v>62850</c:v>
                </c:pt>
                <c:pt idx="1">
                  <c:v>40590</c:v>
                </c:pt>
                <c:pt idx="2">
                  <c:v>91700</c:v>
                </c:pt>
                <c:pt idx="3">
                  <c:v>184500</c:v>
                </c:pt>
                <c:pt idx="4">
                  <c:v>507200</c:v>
                </c:pt>
                <c:pt idx="5">
                  <c:v>892530</c:v>
                </c:pt>
                <c:pt idx="6">
                  <c:v>31150</c:v>
                </c:pt>
                <c:pt idx="7">
                  <c:v>50500</c:v>
                </c:pt>
                <c:pt idx="8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9-4423-B3EC-796F599A4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239560"/>
        <c:axId val="1329145351"/>
      </c:barChart>
      <c:catAx>
        <c:axId val="119323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351"/>
        <c:crosses val="autoZero"/>
        <c:auto val="1"/>
        <c:lblAlgn val="ctr"/>
        <c:lblOffset val="100"/>
        <c:noMultiLvlLbl val="0"/>
      </c:catAx>
      <c:valAx>
        <c:axId val="132914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3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Analysis!$F$23:$F$24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Analysis!$G$23:$G$24</c:f>
              <c:numCache>
                <c:formatCode>General</c:formatCode>
                <c:ptCount val="2"/>
                <c:pt idx="0">
                  <c:v>1483600</c:v>
                </c:pt>
                <c:pt idx="1">
                  <c:v>413420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A-4E5C-A60F-13A3028ED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52872"/>
        <c:axId val="166054920"/>
      </c:barChart>
      <c:catAx>
        <c:axId val="16605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4920"/>
        <c:crosses val="autoZero"/>
        <c:auto val="1"/>
        <c:lblAlgn val="ctr"/>
        <c:lblOffset val="100"/>
        <c:noMultiLvlLbl val="0"/>
      </c:catAx>
      <c:valAx>
        <c:axId val="16605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Analysis!$G$27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Analysis!$F$28:$F$32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Analysis!$G$28:$G$32</c:f>
              <c:numCache>
                <c:formatCode>General</c:formatCode>
                <c:ptCount val="5"/>
                <c:pt idx="0">
                  <c:v>359540</c:v>
                </c:pt>
                <c:pt idx="1">
                  <c:v>398675</c:v>
                </c:pt>
                <c:pt idx="2">
                  <c:v>449275</c:v>
                </c:pt>
                <c:pt idx="3">
                  <c:v>384580</c:v>
                </c:pt>
                <c:pt idx="4">
                  <c:v>152000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0-429A-9883-106683700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108871"/>
        <c:axId val="1099110919"/>
      </c:barChart>
      <c:catAx>
        <c:axId val="109910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10919"/>
        <c:crosses val="autoZero"/>
        <c:auto val="1"/>
        <c:lblAlgn val="ctr"/>
        <c:lblOffset val="100"/>
        <c:noMultiLvlLbl val="0"/>
      </c:catAx>
      <c:valAx>
        <c:axId val="109911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0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Analysis!$F$28:$F$32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Analysis!$H$28:$H$32</c:f>
              <c:numCache>
                <c:formatCode>General</c:formatCode>
                <c:ptCount val="5"/>
                <c:pt idx="0">
                  <c:v>59597.009999999995</c:v>
                </c:pt>
                <c:pt idx="1">
                  <c:v>78068.02</c:v>
                </c:pt>
                <c:pt idx="2">
                  <c:v>87247.19</c:v>
                </c:pt>
                <c:pt idx="3">
                  <c:v>75400.850000000006</c:v>
                </c:pt>
                <c:pt idx="4">
                  <c:v>15477.64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5-45B4-91E3-7337B2C01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96903"/>
        <c:axId val="33298951"/>
      </c:barChart>
      <c:catAx>
        <c:axId val="3329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8951"/>
        <c:crosses val="autoZero"/>
        <c:auto val="1"/>
        <c:lblAlgn val="ctr"/>
        <c:lblOffset val="100"/>
        <c:noMultiLvlLbl val="0"/>
      </c:catAx>
      <c:valAx>
        <c:axId val="3329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Analysis!$G$57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Analysis!$F$58:$F$63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Analysis!$G$58:$G$63</c:f>
              <c:numCache>
                <c:formatCode>General</c:formatCode>
                <c:ptCount val="6"/>
                <c:pt idx="0">
                  <c:v>576350</c:v>
                </c:pt>
                <c:pt idx="1">
                  <c:v>129080</c:v>
                </c:pt>
                <c:pt idx="2">
                  <c:v>206925</c:v>
                </c:pt>
                <c:pt idx="3">
                  <c:v>280755</c:v>
                </c:pt>
                <c:pt idx="4">
                  <c:v>460190</c:v>
                </c:pt>
                <c:pt idx="5">
                  <c:v>243720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6-4612-AC74-444FAA000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607943"/>
        <c:axId val="2125609991"/>
      </c:barChart>
      <c:dateAx>
        <c:axId val="2125607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9991"/>
        <c:crosses val="autoZero"/>
        <c:auto val="1"/>
        <c:lblOffset val="100"/>
        <c:baseTimeUnit val="months"/>
      </c:dateAx>
      <c:valAx>
        <c:axId val="212560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5D9F1"/>
    </a:solidFill>
    <a:ln w="9525" cap="flat" cmpd="sng" algn="ctr">
      <a:solidFill>
        <a:srgbClr val="31869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Analysis!$H$57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Analysis!$F$58:$F$63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Analysis!$H$58:$H$63</c:f>
              <c:numCache>
                <c:formatCode>General</c:formatCode>
                <c:ptCount val="6"/>
                <c:pt idx="0">
                  <c:v>110147.12000000001</c:v>
                </c:pt>
                <c:pt idx="1">
                  <c:v>18471.28</c:v>
                </c:pt>
                <c:pt idx="2">
                  <c:v>31350.12</c:v>
                </c:pt>
                <c:pt idx="3">
                  <c:v>61627.030000000006</c:v>
                </c:pt>
                <c:pt idx="4">
                  <c:v>83992.2</c:v>
                </c:pt>
                <c:pt idx="5">
                  <c:v>35650.959999999999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C-43BB-A7EC-B654EE78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6385288"/>
        <c:axId val="1756387336"/>
      </c:barChart>
      <c:dateAx>
        <c:axId val="1756385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387336"/>
        <c:crosses val="autoZero"/>
        <c:auto val="1"/>
        <c:lblOffset val="100"/>
        <c:baseTimeUnit val="months"/>
      </c:dateAx>
      <c:valAx>
        <c:axId val="175638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385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5D9F1"/>
    </a:solidFill>
    <a:ln w="9525" cap="flat" cmpd="sng" algn="ctr">
      <a:solidFill>
        <a:srgbClr val="31869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Analysis!$I$57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Analysis!$F$58:$F$63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Analysis!$I$58:$I$63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17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D-479C-B7C8-C9C9E0DA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6421128"/>
        <c:axId val="805590023"/>
      </c:barChart>
      <c:dateAx>
        <c:axId val="1756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0023"/>
        <c:crosses val="autoZero"/>
        <c:auto val="1"/>
        <c:lblOffset val="100"/>
        <c:baseTimeUnit val="months"/>
      </c:dateAx>
      <c:valAx>
        <c:axId val="805590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42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DCD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Analysis!$A$12:$A$20</c:f>
              <c:strCache>
                <c:ptCount val="9"/>
                <c:pt idx="0">
                  <c:v>Mouse</c:v>
                </c:pt>
                <c:pt idx="1">
                  <c:v>Desk Lamp</c:v>
                </c:pt>
                <c:pt idx="2">
                  <c:v>Bookshelf</c:v>
                </c:pt>
                <c:pt idx="3">
                  <c:v>Monitor</c:v>
                </c:pt>
                <c:pt idx="4">
                  <c:v>Smartphone</c:v>
                </c:pt>
                <c:pt idx="5">
                  <c:v>Laptop</c:v>
                </c:pt>
                <c:pt idx="6">
                  <c:v>Headphones</c:v>
                </c:pt>
                <c:pt idx="7">
                  <c:v>Keyboard</c:v>
                </c:pt>
                <c:pt idx="8">
                  <c:v>Study Table</c:v>
                </c:pt>
              </c:strCache>
            </c:strRef>
          </c:cat>
          <c:val>
            <c:numRef>
              <c:f>Analysis!$B$12:$B$20</c:f>
              <c:numCache>
                <c:formatCode>General</c:formatCode>
                <c:ptCount val="9"/>
                <c:pt idx="0">
                  <c:v>62850</c:v>
                </c:pt>
                <c:pt idx="1">
                  <c:v>40590</c:v>
                </c:pt>
                <c:pt idx="2">
                  <c:v>91700</c:v>
                </c:pt>
                <c:pt idx="3">
                  <c:v>184500</c:v>
                </c:pt>
                <c:pt idx="4">
                  <c:v>507200</c:v>
                </c:pt>
                <c:pt idx="5">
                  <c:v>892530</c:v>
                </c:pt>
                <c:pt idx="6">
                  <c:v>31150</c:v>
                </c:pt>
                <c:pt idx="7">
                  <c:v>50500</c:v>
                </c:pt>
                <c:pt idx="8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8-4686-BDDF-E61E79C06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239560"/>
        <c:axId val="1329145351"/>
      </c:barChart>
      <c:catAx>
        <c:axId val="119323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351"/>
        <c:crosses val="autoZero"/>
        <c:auto val="1"/>
        <c:lblAlgn val="ctr"/>
        <c:lblOffset val="100"/>
        <c:noMultiLvlLbl val="0"/>
      </c:catAx>
      <c:valAx>
        <c:axId val="132914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3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DCDB"/>
    </a:solidFill>
    <a:ln w="9525" cap="flat" cmpd="sng" algn="ctr">
      <a:solidFill>
        <a:srgbClr val="96363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{"Total Sales"}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Analysis!$F$23:$F$24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Analysis!$G$23:$G$24</c:f>
              <c:numCache>
                <c:formatCode>General</c:formatCode>
                <c:ptCount val="2"/>
                <c:pt idx="0">
                  <c:v>1483600</c:v>
                </c:pt>
                <c:pt idx="1">
                  <c:v>413420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3-482D-BF63-146F68913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52872"/>
        <c:axId val="166054920"/>
      </c:barChart>
      <c:catAx>
        <c:axId val="16605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4920"/>
        <c:crosses val="autoZero"/>
        <c:auto val="1"/>
        <c:lblAlgn val="ctr"/>
        <c:lblOffset val="100"/>
        <c:noMultiLvlLbl val="0"/>
      </c:catAx>
      <c:valAx>
        <c:axId val="16605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AEEF3"/>
    </a:solidFill>
    <a:ln w="9525" cap="flat" cmpd="sng" algn="ctr">
      <a:solidFill>
        <a:srgbClr val="31869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Analysis!$G$27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Analysis!$F$28:$F$32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Analysis!$G$28:$G$32</c:f>
              <c:numCache>
                <c:formatCode>General</c:formatCode>
                <c:ptCount val="5"/>
                <c:pt idx="0">
                  <c:v>359540</c:v>
                </c:pt>
                <c:pt idx="1">
                  <c:v>398675</c:v>
                </c:pt>
                <c:pt idx="2">
                  <c:v>449275</c:v>
                </c:pt>
                <c:pt idx="3">
                  <c:v>384580</c:v>
                </c:pt>
                <c:pt idx="4">
                  <c:v>152000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8-4B3F-95FF-029335E8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108871"/>
        <c:axId val="1099110919"/>
      </c:barChart>
      <c:catAx>
        <c:axId val="109910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10919"/>
        <c:crosses val="autoZero"/>
        <c:auto val="1"/>
        <c:lblAlgn val="ctr"/>
        <c:lblOffset val="100"/>
        <c:noMultiLvlLbl val="0"/>
      </c:catAx>
      <c:valAx>
        <c:axId val="109911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0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EEF3"/>
    </a:solidFill>
    <a:ln w="9525" cap="flat" cmpd="sng" algn="ctr">
      <a:solidFill>
        <a:srgbClr val="31869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Analysis!$F$28:$F$32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Analysis!$H$28:$H$32</c:f>
              <c:numCache>
                <c:formatCode>General</c:formatCode>
                <c:ptCount val="5"/>
                <c:pt idx="0">
                  <c:v>59597.009999999995</c:v>
                </c:pt>
                <c:pt idx="1">
                  <c:v>78068.02</c:v>
                </c:pt>
                <c:pt idx="2">
                  <c:v>87247.19</c:v>
                </c:pt>
                <c:pt idx="3">
                  <c:v>75400.850000000006</c:v>
                </c:pt>
                <c:pt idx="4">
                  <c:v>15477.64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4350-AF1F-51CD96150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96903"/>
        <c:axId val="33298951"/>
      </c:barChart>
      <c:catAx>
        <c:axId val="3329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8951"/>
        <c:crosses val="autoZero"/>
        <c:auto val="1"/>
        <c:lblAlgn val="ctr"/>
        <c:lblOffset val="100"/>
        <c:noMultiLvlLbl val="0"/>
      </c:catAx>
      <c:valAx>
        <c:axId val="3329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4DFEC"/>
    </a:solidFill>
    <a:ln w="9525" cap="flat" cmpd="sng" algn="ctr">
      <a:solidFill>
        <a:srgbClr val="60497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Analysis!$J$36:$J$49</c:f>
              <c:strCache>
                <c:ptCount val="14"/>
                <c:pt idx="0">
                  <c:v>Rohan</c:v>
                </c:pt>
                <c:pt idx="1">
                  <c:v>Zoya</c:v>
                </c:pt>
                <c:pt idx="2">
                  <c:v>Sara</c:v>
                </c:pt>
                <c:pt idx="3">
                  <c:v>Fatima</c:v>
                </c:pt>
                <c:pt idx="4">
                  <c:v>Rahul</c:v>
                </c:pt>
                <c:pt idx="5">
                  <c:v>Priya</c:v>
                </c:pt>
                <c:pt idx="6">
                  <c:v>Ananya</c:v>
                </c:pt>
                <c:pt idx="7">
                  <c:v>Neha</c:v>
                </c:pt>
                <c:pt idx="8">
                  <c:v>Aditya</c:v>
                </c:pt>
                <c:pt idx="9">
                  <c:v>Sneha</c:v>
                </c:pt>
                <c:pt idx="10">
                  <c:v>Arjun</c:v>
                </c:pt>
                <c:pt idx="11">
                  <c:v>Unknown</c:v>
                </c:pt>
                <c:pt idx="12">
                  <c:v>Aisha</c:v>
                </c:pt>
                <c:pt idx="13">
                  <c:v>Vikram</c:v>
                </c:pt>
              </c:strCache>
            </c:strRef>
          </c:cat>
          <c:val>
            <c:numRef>
              <c:f>Analysis!$K$36:$K$49</c:f>
              <c:numCache>
                <c:formatCode>General</c:formatCode>
                <c:ptCount val="14"/>
                <c:pt idx="0">
                  <c:v>380500</c:v>
                </c:pt>
                <c:pt idx="1">
                  <c:v>339565</c:v>
                </c:pt>
                <c:pt idx="2">
                  <c:v>284350</c:v>
                </c:pt>
                <c:pt idx="3">
                  <c:v>241550</c:v>
                </c:pt>
                <c:pt idx="4">
                  <c:v>166030</c:v>
                </c:pt>
                <c:pt idx="5">
                  <c:v>151270</c:v>
                </c:pt>
                <c:pt idx="6">
                  <c:v>100350</c:v>
                </c:pt>
                <c:pt idx="7">
                  <c:v>83570</c:v>
                </c:pt>
                <c:pt idx="8">
                  <c:v>51750</c:v>
                </c:pt>
                <c:pt idx="9">
                  <c:v>35030</c:v>
                </c:pt>
                <c:pt idx="10">
                  <c:v>24055</c:v>
                </c:pt>
                <c:pt idx="11">
                  <c:v>24000</c:v>
                </c:pt>
                <c:pt idx="12">
                  <c:v>10000</c:v>
                </c:pt>
                <c:pt idx="1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0-42BE-AAA3-884ACE8C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065416"/>
        <c:axId val="514067464"/>
      </c:barChart>
      <c:catAx>
        <c:axId val="51406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67464"/>
        <c:crosses val="autoZero"/>
        <c:auto val="1"/>
        <c:lblAlgn val="ctr"/>
        <c:lblOffset val="100"/>
        <c:noMultiLvlLbl val="0"/>
      </c:catAx>
      <c:valAx>
        <c:axId val="51406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6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BF1DE"/>
    </a:solidFill>
    <a:ln w="9525" cap="flat" cmpd="sng" algn="ctr">
      <a:solidFill>
        <a:srgbClr val="76933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Analysis!$L$35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Analysis!$J$36:$J$49</c:f>
              <c:strCache>
                <c:ptCount val="14"/>
                <c:pt idx="0">
                  <c:v>Rohan</c:v>
                </c:pt>
                <c:pt idx="1">
                  <c:v>Zoya</c:v>
                </c:pt>
                <c:pt idx="2">
                  <c:v>Sara</c:v>
                </c:pt>
                <c:pt idx="3">
                  <c:v>Fatima</c:v>
                </c:pt>
                <c:pt idx="4">
                  <c:v>Rahul</c:v>
                </c:pt>
                <c:pt idx="5">
                  <c:v>Priya</c:v>
                </c:pt>
                <c:pt idx="6">
                  <c:v>Ananya</c:v>
                </c:pt>
                <c:pt idx="7">
                  <c:v>Neha</c:v>
                </c:pt>
                <c:pt idx="8">
                  <c:v>Aditya</c:v>
                </c:pt>
                <c:pt idx="9">
                  <c:v>Sneha</c:v>
                </c:pt>
                <c:pt idx="10">
                  <c:v>Arjun</c:v>
                </c:pt>
                <c:pt idx="11">
                  <c:v>Unknown</c:v>
                </c:pt>
                <c:pt idx="12">
                  <c:v>Aisha</c:v>
                </c:pt>
                <c:pt idx="13">
                  <c:v>Vikram</c:v>
                </c:pt>
              </c:strCache>
            </c:strRef>
          </c:cat>
          <c:val>
            <c:numRef>
              <c:f>Analysis!$L$36:$L$49</c:f>
              <c:numCache>
                <c:formatCode>General</c:formatCode>
                <c:ptCount val="14"/>
                <c:pt idx="0">
                  <c:v>80181.73</c:v>
                </c:pt>
                <c:pt idx="1">
                  <c:v>70125.760000000009</c:v>
                </c:pt>
                <c:pt idx="2">
                  <c:v>61273.85</c:v>
                </c:pt>
                <c:pt idx="3">
                  <c:v>51136.630000000005</c:v>
                </c:pt>
                <c:pt idx="4">
                  <c:v>18361.95</c:v>
                </c:pt>
                <c:pt idx="5">
                  <c:v>15880.6</c:v>
                </c:pt>
                <c:pt idx="6">
                  <c:v>11902.41</c:v>
                </c:pt>
                <c:pt idx="7">
                  <c:v>9865.0800000000017</c:v>
                </c:pt>
                <c:pt idx="8">
                  <c:v>9081.77</c:v>
                </c:pt>
                <c:pt idx="9">
                  <c:v>3816.5599999999995</c:v>
                </c:pt>
                <c:pt idx="10">
                  <c:v>2794.53</c:v>
                </c:pt>
                <c:pt idx="11">
                  <c:v>5592.54</c:v>
                </c:pt>
                <c:pt idx="12">
                  <c:v>537.92999999999995</c:v>
                </c:pt>
                <c:pt idx="13">
                  <c:v>687.37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1-46EA-8048-34F94154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5575"/>
        <c:axId val="645436936"/>
      </c:barChart>
      <c:catAx>
        <c:axId val="33325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36936"/>
        <c:crosses val="autoZero"/>
        <c:auto val="1"/>
        <c:lblAlgn val="ctr"/>
        <c:lblOffset val="100"/>
        <c:noMultiLvlLbl val="0"/>
      </c:catAx>
      <c:valAx>
        <c:axId val="64543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5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BF1DE"/>
    </a:solidFill>
    <a:ln w="9525" cap="flat" cmpd="sng" algn="ctr">
      <a:solidFill>
        <a:srgbClr val="76933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20</xdr:row>
      <xdr:rowOff>76200</xdr:rowOff>
    </xdr:from>
    <xdr:to>
      <xdr:col>11</xdr:col>
      <xdr:colOff>600075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10A71-A13D-903F-8C8E-68EDF6D76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20</xdr:row>
      <xdr:rowOff>85725</xdr:rowOff>
    </xdr:from>
    <xdr:to>
      <xdr:col>16</xdr:col>
      <xdr:colOff>28575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808BBC-3C86-B267-1C6D-7DC978995C98}"/>
            </a:ext>
            <a:ext uri="{147F2762-F138-4A5C-976F-8EAC2B608ADB}">
              <a16:predDERef xmlns:a16="http://schemas.microsoft.com/office/drawing/2014/main" pred="{42A10A71-A13D-903F-8C8E-68EDF6D76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</xdr:colOff>
      <xdr:row>11</xdr:row>
      <xdr:rowOff>19050</xdr:rowOff>
    </xdr:from>
    <xdr:to>
      <xdr:col>12</xdr:col>
      <xdr:colOff>247650</xdr:colOff>
      <xdr:row>19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9370A9-1962-7F05-5254-282C4392A122}"/>
            </a:ext>
            <a:ext uri="{147F2762-F138-4A5C-976F-8EAC2B608ADB}">
              <a16:predDERef xmlns:a16="http://schemas.microsoft.com/office/drawing/2014/main" pred="{D5808BBC-3C86-B267-1C6D-7DC978995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142875</xdr:colOff>
      <xdr:row>0</xdr:row>
      <xdr:rowOff>0</xdr:rowOff>
    </xdr:from>
    <xdr:to>
      <xdr:col>7</xdr:col>
      <xdr:colOff>504825</xdr:colOff>
      <xdr:row>9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D2F8B4-3C5D-FC9B-B970-646E6A9320E4}"/>
            </a:ext>
            <a:ext uri="{147F2762-F138-4A5C-976F-8EAC2B608ADB}">
              <a16:predDERef xmlns:a16="http://schemas.microsoft.com/office/drawing/2014/main" pred="{BC9370A9-1962-7F05-5254-282C4392A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561975</xdr:colOff>
      <xdr:row>0</xdr:row>
      <xdr:rowOff>0</xdr:rowOff>
    </xdr:from>
    <xdr:to>
      <xdr:col>10</xdr:col>
      <xdr:colOff>647700</xdr:colOff>
      <xdr:row>9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95E73B-049E-CA52-0156-1FA7EBAE666A}"/>
            </a:ext>
            <a:ext uri="{147F2762-F138-4A5C-976F-8EAC2B608ADB}">
              <a16:predDERef xmlns:a16="http://schemas.microsoft.com/office/drawing/2014/main" pred="{09D2F8B4-3C5D-FC9B-B970-646E6A932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723900</xdr:colOff>
      <xdr:row>0</xdr:row>
      <xdr:rowOff>9525</xdr:rowOff>
    </xdr:from>
    <xdr:to>
      <xdr:col>14</xdr:col>
      <xdr:colOff>495300</xdr:colOff>
      <xdr:row>9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7BADED-E571-4685-C3C1-4D1B97015162}"/>
            </a:ext>
            <a:ext uri="{147F2762-F138-4A5C-976F-8EAC2B608ADB}">
              <a16:predDERef xmlns:a16="http://schemas.microsoft.com/office/drawing/2014/main" pred="{2B95E73B-049E-CA52-0156-1FA7EBAE6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171450</xdr:rowOff>
    </xdr:from>
    <xdr:to>
      <xdr:col>4</xdr:col>
      <xdr:colOff>981075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6732A-A73A-4216-8C98-782ED0600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F8C4-82C9-4647-939C-AD74C818196F}"/>
            </a:ext>
            <a:ext uri="{147F2762-F138-4A5C-976F-8EAC2B608ADB}">
              <a16:predDERef xmlns:a16="http://schemas.microsoft.com/office/drawing/2014/main" pred="{E516732A-A73A-4216-8C98-782ED0600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990600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C35699-09AD-427D-8589-8F8B96DA43D3}"/>
            </a:ext>
            <a:ext uri="{147F2762-F138-4A5C-976F-8EAC2B608ADB}">
              <a16:predDERef xmlns:a16="http://schemas.microsoft.com/office/drawing/2014/main" pred="{5841F8C4-82C9-4647-939C-AD74C8181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19050</xdr:colOff>
      <xdr:row>38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14BB56-9ADB-4841-83BA-6A55683C435C}"/>
            </a:ext>
            <a:ext uri="{147F2762-F138-4A5C-976F-8EAC2B608ADB}">
              <a16:predDERef xmlns:a16="http://schemas.microsoft.com/office/drawing/2014/main" pred="{98C35699-09AD-427D-8589-8F8B96DA4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5</xdr:col>
      <xdr:colOff>0</xdr:colOff>
      <xdr:row>53</xdr:row>
      <xdr:rowOff>19050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E4050B17-CC05-4FD0-AADB-1ED6C02ECC4B}"/>
            </a:ext>
            <a:ext uri="{147F2762-F138-4A5C-976F-8EAC2B608ADB}">
              <a16:predDERef xmlns:a16="http://schemas.microsoft.com/office/drawing/2014/main" pred="{2F14BB56-9ADB-4841-83BA-6A55683C4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10</xdr:col>
      <xdr:colOff>9525</xdr:colOff>
      <xdr:row>53</xdr:row>
      <xdr:rowOff>9525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E6812701-6D8B-4A9E-AAA6-00A416BCE54B}"/>
            </a:ext>
            <a:ext uri="{147F2762-F138-4A5C-976F-8EAC2B608ADB}">
              <a16:predDERef xmlns:a16="http://schemas.microsoft.com/office/drawing/2014/main" pred="{E4050B17-CC05-4FD0-AADB-1ED6C02EC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4</xdr:col>
      <xdr:colOff>990600</xdr:colOff>
      <xdr:row>67</xdr:row>
      <xdr:rowOff>180975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AF70F0D0-680E-4AD7-B764-CD296AC9156C}"/>
            </a:ext>
            <a:ext uri="{147F2762-F138-4A5C-976F-8EAC2B608ADB}">
              <a16:predDERef xmlns:a16="http://schemas.microsoft.com/office/drawing/2014/main" pred="{E6812701-6D8B-4A9E-AAA6-00A416BCE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69</xdr:row>
      <xdr:rowOff>9525</xdr:rowOff>
    </xdr:from>
    <xdr:to>
      <xdr:col>10</xdr:col>
      <xdr:colOff>38100</xdr:colOff>
      <xdr:row>83</xdr:row>
      <xdr:rowOff>0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46F28403-2E0A-498D-895F-2A20FFF1649F}"/>
            </a:ext>
            <a:ext uri="{147F2762-F138-4A5C-976F-8EAC2B608ADB}">
              <a16:predDERef xmlns:a16="http://schemas.microsoft.com/office/drawing/2014/main" pred="{AF70F0D0-680E-4AD7-B764-CD296AC91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69</xdr:row>
      <xdr:rowOff>0</xdr:rowOff>
    </xdr:from>
    <xdr:to>
      <xdr:col>5</xdr:col>
      <xdr:colOff>9525</xdr:colOff>
      <xdr:row>82</xdr:row>
      <xdr:rowOff>180975</xdr:rowOff>
    </xdr:to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38E3FA40-D5A8-4A17-B18A-7D1FCED7977C}"/>
            </a:ext>
            <a:ext uri="{147F2762-F138-4A5C-976F-8EAC2B608ADB}">
              <a16:predDERef xmlns:a16="http://schemas.microsoft.com/office/drawing/2014/main" pred="{46F28403-2E0A-498D-895F-2A20FFF16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workbookViewId="0">
      <pane ySplit="1" topLeftCell="J42" activePane="bottomLeft" state="frozen"/>
      <selection pane="bottomLeft" sqref="A1:J53"/>
    </sheetView>
  </sheetViews>
  <sheetFormatPr defaultRowHeight="15"/>
  <cols>
    <col min="1" max="1" width="12" customWidth="1"/>
    <col min="2" max="2" width="14" customWidth="1"/>
    <col min="3" max="3" width="16" customWidth="1"/>
    <col min="4" max="4" width="14" customWidth="1"/>
    <col min="5" max="5" width="16" customWidth="1"/>
    <col min="6" max="6" width="18" customWidth="1"/>
    <col min="7" max="7" width="10" customWidth="1"/>
    <col min="8" max="8" width="14" customWidth="1"/>
    <col min="9" max="9" width="12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46190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 s="3">
        <v>1900</v>
      </c>
      <c r="I2" s="4">
        <v>0.05</v>
      </c>
      <c r="J2" s="3">
        <v>197.07</v>
      </c>
    </row>
    <row r="3" spans="1:10">
      <c r="A3" t="s">
        <v>15</v>
      </c>
      <c r="B3" s="2">
        <v>46053</v>
      </c>
      <c r="C3" t="s">
        <v>16</v>
      </c>
      <c r="D3" t="s">
        <v>12</v>
      </c>
      <c r="E3" t="s">
        <v>17</v>
      </c>
      <c r="F3" t="s">
        <v>18</v>
      </c>
      <c r="G3">
        <v>4</v>
      </c>
      <c r="H3" s="3">
        <v>7200</v>
      </c>
      <c r="I3" s="4">
        <v>0</v>
      </c>
      <c r="J3" s="3">
        <v>612.47</v>
      </c>
    </row>
    <row r="4" spans="1:10">
      <c r="A4" t="s">
        <v>19</v>
      </c>
      <c r="B4" s="2">
        <v>46082</v>
      </c>
      <c r="C4" t="s">
        <v>20</v>
      </c>
      <c r="D4" t="s">
        <v>12</v>
      </c>
      <c r="E4" t="s">
        <v>17</v>
      </c>
      <c r="F4" t="s">
        <v>21</v>
      </c>
      <c r="G4">
        <v>2</v>
      </c>
      <c r="H4" s="3">
        <v>11900</v>
      </c>
      <c r="I4" s="4">
        <v>0.15</v>
      </c>
      <c r="J4" s="3">
        <v>1397.95</v>
      </c>
    </row>
    <row r="5" spans="1:10">
      <c r="A5" t="s">
        <v>22</v>
      </c>
      <c r="B5" s="2">
        <v>46177</v>
      </c>
      <c r="C5" t="s">
        <v>23</v>
      </c>
      <c r="D5" t="s">
        <v>12</v>
      </c>
      <c r="E5" t="s">
        <v>13</v>
      </c>
      <c r="F5" t="s">
        <v>24</v>
      </c>
      <c r="G5">
        <v>4</v>
      </c>
      <c r="H5" s="3">
        <v>54000</v>
      </c>
      <c r="I5" s="4">
        <v>0.1</v>
      </c>
      <c r="J5" s="3">
        <v>6870.86</v>
      </c>
    </row>
    <row r="6" spans="1:10">
      <c r="A6" t="s">
        <v>25</v>
      </c>
      <c r="B6" s="2">
        <v>46082</v>
      </c>
      <c r="C6" t="s">
        <v>26</v>
      </c>
      <c r="D6" t="s">
        <v>27</v>
      </c>
      <c r="E6" t="s">
        <v>13</v>
      </c>
      <c r="F6" t="s">
        <v>28</v>
      </c>
      <c r="G6">
        <v>1</v>
      </c>
      <c r="H6" s="3">
        <v>27200</v>
      </c>
      <c r="I6" s="4">
        <v>0.15</v>
      </c>
      <c r="J6" s="3">
        <v>2623.22</v>
      </c>
    </row>
    <row r="7" spans="1:10">
      <c r="A7" t="s">
        <v>29</v>
      </c>
      <c r="B7" s="2">
        <v>46115</v>
      </c>
      <c r="C7" t="s">
        <v>30</v>
      </c>
      <c r="D7" t="s">
        <v>31</v>
      </c>
      <c r="E7" t="s">
        <v>13</v>
      </c>
      <c r="F7" t="s">
        <v>32</v>
      </c>
      <c r="G7">
        <v>4</v>
      </c>
      <c r="H7" s="3">
        <v>220000</v>
      </c>
      <c r="I7" s="4">
        <v>0</v>
      </c>
      <c r="J7" s="3">
        <v>53994.53</v>
      </c>
    </row>
    <row r="8" spans="1:10">
      <c r="A8" t="s">
        <v>33</v>
      </c>
      <c r="B8" s="2">
        <v>46123</v>
      </c>
      <c r="C8" t="s">
        <v>11</v>
      </c>
      <c r="D8" t="s">
        <v>31</v>
      </c>
      <c r="E8" t="s">
        <v>17</v>
      </c>
      <c r="F8" t="s">
        <v>18</v>
      </c>
      <c r="G8">
        <v>3</v>
      </c>
      <c r="H8" s="3">
        <v>5130</v>
      </c>
      <c r="I8" s="4">
        <v>0.05</v>
      </c>
      <c r="J8" s="3">
        <v>1024.8599999999999</v>
      </c>
    </row>
    <row r="9" spans="1:10">
      <c r="A9" t="s">
        <v>34</v>
      </c>
      <c r="B9" s="2">
        <v>46038</v>
      </c>
      <c r="C9" t="s">
        <v>16</v>
      </c>
      <c r="D9" t="s">
        <v>35</v>
      </c>
      <c r="E9" t="s">
        <v>13</v>
      </c>
      <c r="F9" t="s">
        <v>14</v>
      </c>
      <c r="G9">
        <v>1</v>
      </c>
      <c r="H9" s="3">
        <v>950</v>
      </c>
      <c r="I9" s="4">
        <v>0.05</v>
      </c>
      <c r="J9" s="3">
        <v>215.94</v>
      </c>
    </row>
    <row r="10" spans="1:10">
      <c r="A10" t="s">
        <v>36</v>
      </c>
      <c r="B10" s="2">
        <v>46124</v>
      </c>
      <c r="C10" t="s">
        <v>23</v>
      </c>
      <c r="D10" t="s">
        <v>37</v>
      </c>
      <c r="E10" t="s">
        <v>13</v>
      </c>
      <c r="F10" t="s">
        <v>38</v>
      </c>
      <c r="G10">
        <v>2</v>
      </c>
      <c r="H10" s="3">
        <v>5400</v>
      </c>
      <c r="I10" s="4">
        <v>0.1</v>
      </c>
      <c r="J10" s="3">
        <v>758.14</v>
      </c>
    </row>
    <row r="11" spans="1:10">
      <c r="A11" t="s">
        <v>39</v>
      </c>
      <c r="B11" s="2">
        <v>46198</v>
      </c>
      <c r="C11" t="s">
        <v>23</v>
      </c>
      <c r="D11" t="s">
        <v>12</v>
      </c>
      <c r="E11" t="s">
        <v>17</v>
      </c>
      <c r="F11" t="s">
        <v>18</v>
      </c>
      <c r="G11">
        <v>2</v>
      </c>
      <c r="H11" s="3">
        <v>3420</v>
      </c>
      <c r="I11" s="4">
        <v>0.05</v>
      </c>
      <c r="J11" s="3">
        <v>368.6</v>
      </c>
    </row>
    <row r="12" spans="1:10">
      <c r="A12" t="s">
        <v>40</v>
      </c>
      <c r="B12" s="2">
        <v>46124</v>
      </c>
      <c r="C12" t="s">
        <v>23</v>
      </c>
      <c r="D12" t="s">
        <v>41</v>
      </c>
      <c r="E12" t="s">
        <v>13</v>
      </c>
      <c r="F12" t="s">
        <v>38</v>
      </c>
      <c r="G12">
        <v>1</v>
      </c>
      <c r="H12" s="3">
        <v>2850</v>
      </c>
      <c r="I12" s="4">
        <v>0.05</v>
      </c>
      <c r="J12" s="3">
        <v>626.16</v>
      </c>
    </row>
    <row r="13" spans="1:10">
      <c r="A13" t="s">
        <v>42</v>
      </c>
      <c r="B13" s="2">
        <v>46107</v>
      </c>
      <c r="C13" t="s">
        <v>43</v>
      </c>
      <c r="D13" t="s">
        <v>31</v>
      </c>
      <c r="E13" t="s">
        <v>44</v>
      </c>
      <c r="F13" t="s">
        <v>28</v>
      </c>
      <c r="G13">
        <v>2</v>
      </c>
      <c r="H13" s="3">
        <v>57600</v>
      </c>
      <c r="I13" s="4">
        <v>0.1</v>
      </c>
      <c r="J13" s="3">
        <v>6690.04</v>
      </c>
    </row>
    <row r="14" spans="1:10">
      <c r="A14" t="s">
        <v>45</v>
      </c>
      <c r="B14" s="2">
        <v>46154</v>
      </c>
      <c r="C14" t="s">
        <v>43</v>
      </c>
      <c r="D14" t="s">
        <v>37</v>
      </c>
      <c r="E14" t="s">
        <v>13</v>
      </c>
      <c r="F14" t="s">
        <v>24</v>
      </c>
      <c r="G14">
        <v>3</v>
      </c>
      <c r="H14" s="3">
        <v>42750</v>
      </c>
      <c r="I14" s="4">
        <v>0.05</v>
      </c>
      <c r="J14" s="3">
        <v>5212.37</v>
      </c>
    </row>
    <row r="15" spans="1:10">
      <c r="A15" t="s">
        <v>46</v>
      </c>
      <c r="B15" s="2">
        <v>46170</v>
      </c>
      <c r="C15" t="s">
        <v>47</v>
      </c>
      <c r="D15" t="s">
        <v>31</v>
      </c>
      <c r="E15" t="s">
        <v>17</v>
      </c>
      <c r="F15" t="s">
        <v>18</v>
      </c>
      <c r="G15">
        <v>4</v>
      </c>
      <c r="H15" s="3">
        <v>6120</v>
      </c>
      <c r="I15" s="4">
        <v>0.15</v>
      </c>
      <c r="J15" s="3">
        <v>866.22</v>
      </c>
    </row>
    <row r="16" spans="1:10">
      <c r="A16" t="s">
        <v>48</v>
      </c>
      <c r="B16" s="2">
        <v>46062</v>
      </c>
      <c r="C16" t="s">
        <v>47</v>
      </c>
      <c r="D16" t="s">
        <v>37</v>
      </c>
      <c r="E16" t="s">
        <v>13</v>
      </c>
      <c r="F16" t="s">
        <v>28</v>
      </c>
      <c r="G16">
        <v>1</v>
      </c>
      <c r="H16" s="3">
        <v>32000</v>
      </c>
      <c r="I16" s="4">
        <v>0</v>
      </c>
      <c r="J16" s="3">
        <v>3391.46</v>
      </c>
    </row>
    <row r="17" spans="1:10">
      <c r="A17" t="s">
        <v>49</v>
      </c>
      <c r="B17" s="2">
        <v>46067</v>
      </c>
      <c r="C17" t="s">
        <v>26</v>
      </c>
      <c r="D17" t="s">
        <v>37</v>
      </c>
      <c r="E17" t="s">
        <v>17</v>
      </c>
      <c r="F17" t="s">
        <v>50</v>
      </c>
      <c r="G17">
        <v>1</v>
      </c>
      <c r="H17" s="3">
        <v>1530</v>
      </c>
      <c r="I17" s="4">
        <v>0.15</v>
      </c>
      <c r="J17" s="3">
        <v>221.66</v>
      </c>
    </row>
    <row r="18" spans="1:10">
      <c r="A18" t="s">
        <v>51</v>
      </c>
      <c r="B18" s="2">
        <v>46146</v>
      </c>
      <c r="C18" t="s">
        <v>47</v>
      </c>
      <c r="D18" t="s">
        <v>31</v>
      </c>
      <c r="E18" t="s">
        <v>17</v>
      </c>
      <c r="F18" t="s">
        <v>21</v>
      </c>
      <c r="G18">
        <v>1</v>
      </c>
      <c r="H18" s="3">
        <v>7000</v>
      </c>
      <c r="I18" s="4">
        <v>0</v>
      </c>
      <c r="J18" s="3">
        <v>1371.24</v>
      </c>
    </row>
    <row r="19" spans="1:10">
      <c r="A19" t="s">
        <v>52</v>
      </c>
      <c r="B19" s="2">
        <v>46164</v>
      </c>
      <c r="C19" t="s">
        <v>26</v>
      </c>
      <c r="D19" t="s">
        <v>31</v>
      </c>
      <c r="E19" t="s">
        <v>13</v>
      </c>
      <c r="F19" t="s">
        <v>38</v>
      </c>
      <c r="G19">
        <v>1</v>
      </c>
      <c r="H19" s="3">
        <v>2700</v>
      </c>
      <c r="I19" s="4">
        <v>0.1</v>
      </c>
      <c r="J19" s="3">
        <v>415.56</v>
      </c>
    </row>
    <row r="20" spans="1:10">
      <c r="A20" t="s">
        <v>53</v>
      </c>
      <c r="B20" s="2">
        <v>46143</v>
      </c>
      <c r="D20" t="s">
        <v>31</v>
      </c>
      <c r="E20" t="s">
        <v>17</v>
      </c>
      <c r="F20" t="s">
        <v>21</v>
      </c>
      <c r="G20">
        <v>2</v>
      </c>
      <c r="H20" s="3">
        <v>14000</v>
      </c>
      <c r="I20" s="4">
        <v>0</v>
      </c>
      <c r="J20" s="3">
        <v>3191.83</v>
      </c>
    </row>
    <row r="21" spans="1:10">
      <c r="A21" t="s">
        <v>54</v>
      </c>
      <c r="B21" s="2">
        <v>46103</v>
      </c>
      <c r="C21" t="s">
        <v>55</v>
      </c>
      <c r="D21" t="s">
        <v>41</v>
      </c>
      <c r="E21" t="s">
        <v>13</v>
      </c>
      <c r="F21" t="s">
        <v>24</v>
      </c>
      <c r="G21">
        <v>3</v>
      </c>
      <c r="H21" s="3">
        <v>42750</v>
      </c>
      <c r="I21" s="4">
        <v>0.05</v>
      </c>
      <c r="J21" s="3">
        <v>7339.94</v>
      </c>
    </row>
    <row r="22" spans="1:10">
      <c r="A22" t="s">
        <v>56</v>
      </c>
      <c r="B22" s="2">
        <v>46162</v>
      </c>
      <c r="C22" t="s">
        <v>57</v>
      </c>
      <c r="D22" t="s">
        <v>12</v>
      </c>
      <c r="E22" t="s">
        <v>17</v>
      </c>
      <c r="F22" t="s">
        <v>18</v>
      </c>
      <c r="G22">
        <v>3</v>
      </c>
      <c r="H22" s="3">
        <v>4590</v>
      </c>
      <c r="I22" s="4">
        <v>0.15</v>
      </c>
      <c r="J22" s="3">
        <v>382.4</v>
      </c>
    </row>
    <row r="23" spans="1:10">
      <c r="A23" t="s">
        <v>58</v>
      </c>
      <c r="B23" s="2">
        <v>46119</v>
      </c>
      <c r="C23" t="s">
        <v>57</v>
      </c>
      <c r="D23" t="s">
        <v>31</v>
      </c>
      <c r="E23" t="s">
        <v>13</v>
      </c>
      <c r="F23" t="s">
        <v>59</v>
      </c>
      <c r="G23">
        <v>1</v>
      </c>
      <c r="H23" s="3">
        <v>2375</v>
      </c>
      <c r="I23" s="4">
        <v>0.05</v>
      </c>
      <c r="J23" s="3">
        <v>544.5</v>
      </c>
    </row>
    <row r="24" spans="1:10">
      <c r="A24" t="s">
        <v>60</v>
      </c>
      <c r="B24" s="2">
        <v>46047</v>
      </c>
      <c r="C24" t="s">
        <v>11</v>
      </c>
      <c r="E24" t="s">
        <v>13</v>
      </c>
      <c r="F24" t="s">
        <v>28</v>
      </c>
      <c r="G24">
        <v>5</v>
      </c>
      <c r="H24" s="3">
        <v>152000</v>
      </c>
      <c r="I24" s="4">
        <v>0.05</v>
      </c>
      <c r="J24" s="3">
        <v>15477.64</v>
      </c>
    </row>
    <row r="25" spans="1:10">
      <c r="A25" t="s">
        <v>61</v>
      </c>
      <c r="B25" s="2">
        <v>46148</v>
      </c>
      <c r="C25" t="s">
        <v>47</v>
      </c>
      <c r="D25" t="s">
        <v>41</v>
      </c>
      <c r="E25" t="s">
        <v>13</v>
      </c>
      <c r="F25" t="s">
        <v>14</v>
      </c>
      <c r="G25">
        <v>5</v>
      </c>
      <c r="H25" s="3">
        <v>4250</v>
      </c>
      <c r="I25" s="4">
        <v>0.15</v>
      </c>
      <c r="J25" s="3">
        <v>1036.75</v>
      </c>
    </row>
    <row r="26" spans="1:10">
      <c r="A26" t="s">
        <v>62</v>
      </c>
      <c r="B26" s="2">
        <v>46165</v>
      </c>
      <c r="C26" t="s">
        <v>26</v>
      </c>
      <c r="D26" t="s">
        <v>41</v>
      </c>
      <c r="E26" t="s">
        <v>13</v>
      </c>
      <c r="F26" t="s">
        <v>14</v>
      </c>
      <c r="G26">
        <v>4</v>
      </c>
      <c r="H26" s="3">
        <v>3600</v>
      </c>
      <c r="I26" s="4">
        <v>0.1</v>
      </c>
      <c r="J26" s="3">
        <v>556.12</v>
      </c>
    </row>
    <row r="27" spans="1:10">
      <c r="A27" t="s">
        <v>63</v>
      </c>
      <c r="B27" s="2">
        <v>46159</v>
      </c>
      <c r="C27" t="s">
        <v>64</v>
      </c>
      <c r="D27" t="s">
        <v>12</v>
      </c>
      <c r="E27" t="s">
        <v>13</v>
      </c>
      <c r="F27" t="s">
        <v>59</v>
      </c>
      <c r="G27">
        <v>2</v>
      </c>
      <c r="H27" s="3">
        <v>5000</v>
      </c>
      <c r="I27" s="4">
        <v>0</v>
      </c>
      <c r="J27" s="3">
        <v>687.37</v>
      </c>
    </row>
    <row r="28" spans="1:10">
      <c r="A28" t="s">
        <v>65</v>
      </c>
      <c r="B28" s="2">
        <v>46177</v>
      </c>
      <c r="C28" t="s">
        <v>47</v>
      </c>
      <c r="D28" t="s">
        <v>41</v>
      </c>
      <c r="E28" t="s">
        <v>17</v>
      </c>
      <c r="F28" t="s">
        <v>18</v>
      </c>
      <c r="G28">
        <v>2</v>
      </c>
      <c r="H28" s="3">
        <v>3600</v>
      </c>
      <c r="I28" s="4">
        <v>0</v>
      </c>
      <c r="J28" s="3">
        <v>331.45</v>
      </c>
    </row>
    <row r="29" spans="1:10">
      <c r="A29" t="s">
        <v>66</v>
      </c>
      <c r="B29" s="2">
        <v>46188</v>
      </c>
      <c r="C29" t="s">
        <v>67</v>
      </c>
      <c r="D29" t="s">
        <v>41</v>
      </c>
      <c r="E29" t="s">
        <v>13</v>
      </c>
      <c r="F29" t="s">
        <v>28</v>
      </c>
      <c r="G29">
        <v>1</v>
      </c>
      <c r="H29" s="3">
        <v>28800</v>
      </c>
      <c r="I29" s="4">
        <v>0.1</v>
      </c>
      <c r="J29" s="3">
        <v>2650.92</v>
      </c>
    </row>
    <row r="30" spans="1:10">
      <c r="A30" t="s">
        <v>68</v>
      </c>
      <c r="B30" s="2">
        <v>46087</v>
      </c>
      <c r="C30" t="s">
        <v>23</v>
      </c>
      <c r="D30" t="s">
        <v>37</v>
      </c>
      <c r="E30" t="s">
        <v>13</v>
      </c>
      <c r="F30" t="s">
        <v>59</v>
      </c>
      <c r="G30">
        <v>5</v>
      </c>
      <c r="H30" s="3">
        <v>11875</v>
      </c>
      <c r="I30" s="4">
        <v>0.05</v>
      </c>
      <c r="J30" s="3">
        <v>2410.27</v>
      </c>
    </row>
    <row r="31" spans="1:10">
      <c r="A31" t="s">
        <v>69</v>
      </c>
      <c r="B31" s="2">
        <v>46173</v>
      </c>
      <c r="C31" t="s">
        <v>30</v>
      </c>
      <c r="D31" t="s">
        <v>37</v>
      </c>
      <c r="E31" t="s">
        <v>13</v>
      </c>
      <c r="F31" t="s">
        <v>59</v>
      </c>
      <c r="G31">
        <v>4</v>
      </c>
      <c r="H31" s="3">
        <v>8500</v>
      </c>
      <c r="I31" s="4">
        <v>0.15</v>
      </c>
      <c r="J31" s="3">
        <v>955.14</v>
      </c>
    </row>
    <row r="32" spans="1:10">
      <c r="A32" t="s">
        <v>70</v>
      </c>
      <c r="B32" s="2">
        <v>46051</v>
      </c>
      <c r="C32" t="s">
        <v>16</v>
      </c>
      <c r="D32" t="s">
        <v>37</v>
      </c>
      <c r="E32" t="s">
        <v>13</v>
      </c>
      <c r="F32" t="s">
        <v>38</v>
      </c>
      <c r="G32">
        <v>4</v>
      </c>
      <c r="H32" s="3">
        <v>10200</v>
      </c>
      <c r="I32" s="4">
        <v>0.15</v>
      </c>
      <c r="J32" s="3">
        <v>1625.82</v>
      </c>
    </row>
    <row r="33" spans="1:10">
      <c r="A33" t="s">
        <v>71</v>
      </c>
      <c r="B33" s="2">
        <v>46040</v>
      </c>
      <c r="C33" t="s">
        <v>16</v>
      </c>
      <c r="D33" t="s">
        <v>12</v>
      </c>
      <c r="E33" t="s">
        <v>72</v>
      </c>
      <c r="F33" t="s">
        <v>32</v>
      </c>
      <c r="G33">
        <v>4</v>
      </c>
      <c r="H33" s="3">
        <v>198000</v>
      </c>
      <c r="I33" s="4">
        <v>0.1</v>
      </c>
      <c r="J33" s="3">
        <v>42787.94</v>
      </c>
    </row>
    <row r="34" spans="1:10">
      <c r="A34" t="s">
        <v>73</v>
      </c>
      <c r="B34" s="2">
        <v>46054</v>
      </c>
      <c r="C34" t="s">
        <v>20</v>
      </c>
      <c r="D34" t="s">
        <v>41</v>
      </c>
      <c r="E34" t="s">
        <v>13</v>
      </c>
      <c r="F34" t="s">
        <v>59</v>
      </c>
      <c r="G34">
        <v>5</v>
      </c>
      <c r="H34" s="3">
        <v>10625</v>
      </c>
      <c r="I34" s="4">
        <v>0.15</v>
      </c>
      <c r="J34" s="3">
        <v>1103.2</v>
      </c>
    </row>
    <row r="35" spans="1:10">
      <c r="A35" t="s">
        <v>74</v>
      </c>
      <c r="B35" s="2">
        <v>46073</v>
      </c>
      <c r="C35" t="s">
        <v>23</v>
      </c>
      <c r="D35" t="s">
        <v>37</v>
      </c>
      <c r="E35" t="s">
        <v>13</v>
      </c>
      <c r="F35" t="s">
        <v>59</v>
      </c>
      <c r="G35">
        <v>1</v>
      </c>
      <c r="H35" s="3">
        <v>2125</v>
      </c>
      <c r="I35" s="4">
        <v>0.15</v>
      </c>
      <c r="J35" s="3">
        <v>461.9</v>
      </c>
    </row>
    <row r="36" spans="1:10">
      <c r="A36" t="s">
        <v>75</v>
      </c>
      <c r="B36" s="2">
        <v>46167</v>
      </c>
      <c r="C36" t="s">
        <v>11</v>
      </c>
      <c r="D36" t="s">
        <v>12</v>
      </c>
      <c r="E36" t="s">
        <v>17</v>
      </c>
      <c r="F36" t="s">
        <v>21</v>
      </c>
      <c r="G36">
        <v>1</v>
      </c>
      <c r="H36" s="3">
        <v>7000</v>
      </c>
      <c r="I36" s="4">
        <v>0</v>
      </c>
      <c r="J36" s="3">
        <v>1662.38</v>
      </c>
    </row>
    <row r="37" spans="1:10">
      <c r="A37" t="s">
        <v>76</v>
      </c>
      <c r="B37" s="2">
        <v>46087</v>
      </c>
      <c r="C37" t="s">
        <v>77</v>
      </c>
      <c r="D37" t="s">
        <v>37</v>
      </c>
      <c r="E37" t="s">
        <v>17</v>
      </c>
      <c r="F37" t="s">
        <v>78</v>
      </c>
      <c r="G37">
        <v>4</v>
      </c>
      <c r="H37" s="3">
        <v>45600</v>
      </c>
      <c r="I37" s="4">
        <v>0.05</v>
      </c>
      <c r="J37" s="3">
        <v>10350.77</v>
      </c>
    </row>
    <row r="38" spans="1:10">
      <c r="A38" t="s">
        <v>79</v>
      </c>
      <c r="B38" s="2">
        <v>46042</v>
      </c>
      <c r="C38" t="s">
        <v>77</v>
      </c>
      <c r="D38" t="s">
        <v>37</v>
      </c>
      <c r="E38" t="s">
        <v>13</v>
      </c>
      <c r="F38" t="s">
        <v>32</v>
      </c>
      <c r="G38">
        <v>4</v>
      </c>
      <c r="H38" s="3">
        <v>198000</v>
      </c>
      <c r="I38" s="4">
        <v>0.1</v>
      </c>
      <c r="J38" s="3">
        <v>47026.6</v>
      </c>
    </row>
    <row r="39" spans="1:10">
      <c r="A39" t="s">
        <v>80</v>
      </c>
      <c r="B39" s="2">
        <v>46143</v>
      </c>
      <c r="C39" t="s">
        <v>23</v>
      </c>
      <c r="D39" t="s">
        <v>37</v>
      </c>
      <c r="E39" t="s">
        <v>17</v>
      </c>
      <c r="F39" t="s">
        <v>21</v>
      </c>
      <c r="G39">
        <v>4</v>
      </c>
      <c r="H39" s="3">
        <v>26600</v>
      </c>
      <c r="I39" s="4">
        <v>0.05</v>
      </c>
      <c r="J39" s="3">
        <v>2986.72</v>
      </c>
    </row>
    <row r="40" spans="1:10">
      <c r="A40" t="s">
        <v>81</v>
      </c>
      <c r="B40" s="2">
        <v>46082</v>
      </c>
      <c r="C40" t="s">
        <v>82</v>
      </c>
      <c r="D40" t="s">
        <v>12</v>
      </c>
      <c r="E40" t="s">
        <v>13</v>
      </c>
      <c r="F40" t="s">
        <v>38</v>
      </c>
      <c r="G40">
        <v>1</v>
      </c>
      <c r="H40" s="3"/>
      <c r="I40" s="4">
        <v>0</v>
      </c>
      <c r="J40" s="3">
        <v>537.92999999999995</v>
      </c>
    </row>
    <row r="41" spans="1:10">
      <c r="A41" t="s">
        <v>83</v>
      </c>
      <c r="B41" s="2">
        <v>46155</v>
      </c>
      <c r="C41" t="s">
        <v>57</v>
      </c>
      <c r="D41" t="s">
        <v>41</v>
      </c>
      <c r="E41" t="s">
        <v>13</v>
      </c>
      <c r="F41" t="s">
        <v>32</v>
      </c>
      <c r="G41">
        <v>5</v>
      </c>
      <c r="H41" s="3">
        <v>275000</v>
      </c>
      <c r="I41" s="4">
        <v>0</v>
      </c>
      <c r="J41" s="3">
        <v>61800.26</v>
      </c>
    </row>
    <row r="42" spans="1:10">
      <c r="A42" t="s">
        <v>84</v>
      </c>
      <c r="B42" s="2">
        <v>46044</v>
      </c>
      <c r="D42" t="s">
        <v>12</v>
      </c>
      <c r="E42" t="s">
        <v>13</v>
      </c>
      <c r="F42" t="s">
        <v>59</v>
      </c>
      <c r="G42">
        <v>4</v>
      </c>
      <c r="H42" s="3">
        <v>10000</v>
      </c>
      <c r="I42" s="4">
        <v>0</v>
      </c>
      <c r="J42" s="3">
        <v>2400.71</v>
      </c>
    </row>
    <row r="43" spans="1:10">
      <c r="A43" t="s">
        <v>85</v>
      </c>
      <c r="B43" s="2">
        <v>46172</v>
      </c>
      <c r="C43" t="s">
        <v>20</v>
      </c>
      <c r="D43" t="s">
        <v>12</v>
      </c>
      <c r="E43" t="s">
        <v>17</v>
      </c>
      <c r="F43" t="s">
        <v>18</v>
      </c>
      <c r="G43">
        <v>1</v>
      </c>
      <c r="H43" s="3">
        <v>1530</v>
      </c>
      <c r="I43" s="4">
        <v>0.15</v>
      </c>
      <c r="J43" s="3">
        <v>293.38</v>
      </c>
    </row>
    <row r="44" spans="1:10">
      <c r="A44" t="s">
        <v>86</v>
      </c>
      <c r="B44" s="2">
        <v>46171</v>
      </c>
      <c r="C44" t="s">
        <v>47</v>
      </c>
      <c r="D44" t="s">
        <v>31</v>
      </c>
      <c r="E44" t="s">
        <v>13</v>
      </c>
      <c r="F44" t="s">
        <v>14</v>
      </c>
      <c r="G44">
        <v>2</v>
      </c>
      <c r="H44" s="3">
        <v>1800</v>
      </c>
      <c r="I44" s="4">
        <v>0.1</v>
      </c>
      <c r="J44" s="3">
        <v>217.04</v>
      </c>
    </row>
    <row r="45" spans="1:10">
      <c r="A45" t="s">
        <v>87</v>
      </c>
      <c r="B45" s="2">
        <v>46128</v>
      </c>
      <c r="C45" t="s">
        <v>77</v>
      </c>
      <c r="D45" t="s">
        <v>31</v>
      </c>
      <c r="E45" t="s">
        <v>17</v>
      </c>
      <c r="F45" t="s">
        <v>88</v>
      </c>
      <c r="G45">
        <v>3</v>
      </c>
      <c r="H45" s="3">
        <v>36000</v>
      </c>
      <c r="I45" s="4">
        <v>0</v>
      </c>
      <c r="J45" s="3">
        <v>2937.01</v>
      </c>
    </row>
    <row r="46" spans="1:10">
      <c r="A46" t="s">
        <v>89</v>
      </c>
      <c r="B46" s="2">
        <v>46186</v>
      </c>
      <c r="C46" t="s">
        <v>30</v>
      </c>
      <c r="D46" t="s">
        <v>90</v>
      </c>
      <c r="E46" t="s">
        <v>13</v>
      </c>
      <c r="F46" t="s">
        <v>28</v>
      </c>
      <c r="G46">
        <v>5</v>
      </c>
      <c r="H46" s="3">
        <v>152000</v>
      </c>
      <c r="I46" s="4">
        <v>0.05</v>
      </c>
      <c r="J46" s="3">
        <v>25232.06</v>
      </c>
    </row>
    <row r="47" spans="1:10">
      <c r="A47" t="s">
        <v>91</v>
      </c>
      <c r="B47" s="2">
        <v>46060</v>
      </c>
      <c r="C47" t="s">
        <v>57</v>
      </c>
      <c r="D47" t="s">
        <v>31</v>
      </c>
      <c r="E47" t="s">
        <v>13</v>
      </c>
      <c r="F47" t="s">
        <v>28</v>
      </c>
      <c r="G47">
        <v>2</v>
      </c>
      <c r="H47" s="3">
        <v>57600</v>
      </c>
      <c r="I47" s="4">
        <v>0.1</v>
      </c>
      <c r="J47" s="3">
        <v>7398.6</v>
      </c>
    </row>
    <row r="48" spans="1:10">
      <c r="A48" t="s">
        <v>92</v>
      </c>
      <c r="B48" s="2">
        <v>46139</v>
      </c>
      <c r="C48" t="s">
        <v>55</v>
      </c>
      <c r="D48" t="s">
        <v>31</v>
      </c>
      <c r="E48" t="s">
        <v>17</v>
      </c>
      <c r="F48" t="s">
        <v>18</v>
      </c>
      <c r="G48">
        <v>5</v>
      </c>
      <c r="H48" s="3">
        <v>9000</v>
      </c>
      <c r="I48" s="4">
        <v>0</v>
      </c>
      <c r="J48" s="3">
        <v>1741.83</v>
      </c>
    </row>
    <row r="49" spans="1:10">
      <c r="A49" t="s">
        <v>93</v>
      </c>
      <c r="B49" s="2">
        <v>46168</v>
      </c>
      <c r="C49" t="s">
        <v>23</v>
      </c>
      <c r="D49" t="s">
        <v>12</v>
      </c>
      <c r="E49" t="s">
        <v>13</v>
      </c>
      <c r="F49" t="s">
        <v>24</v>
      </c>
      <c r="G49">
        <v>3</v>
      </c>
      <c r="H49" s="3">
        <v>45000</v>
      </c>
      <c r="I49" s="4">
        <v>0</v>
      </c>
      <c r="J49" s="3"/>
    </row>
    <row r="50" spans="1:10">
      <c r="A50" t="s">
        <v>94</v>
      </c>
      <c r="B50" s="2">
        <v>46168</v>
      </c>
      <c r="C50" t="s">
        <v>77</v>
      </c>
      <c r="D50" t="s">
        <v>31</v>
      </c>
      <c r="E50" t="s">
        <v>13</v>
      </c>
      <c r="F50" t="s">
        <v>14</v>
      </c>
      <c r="G50">
        <v>5</v>
      </c>
      <c r="H50" s="3">
        <v>4750</v>
      </c>
      <c r="I50" s="4">
        <v>0.05</v>
      </c>
      <c r="J50" s="3">
        <v>959.47</v>
      </c>
    </row>
    <row r="51" spans="1:10">
      <c r="A51" t="s">
        <v>95</v>
      </c>
      <c r="B51" s="2">
        <v>46079</v>
      </c>
      <c r="C51" t="s">
        <v>16</v>
      </c>
      <c r="D51" t="s">
        <v>31</v>
      </c>
      <c r="E51" t="s">
        <v>17</v>
      </c>
      <c r="F51" t="s">
        <v>21</v>
      </c>
      <c r="G51">
        <v>4</v>
      </c>
      <c r="H51" s="3">
        <v>25200</v>
      </c>
      <c r="I51" s="4">
        <v>0.1</v>
      </c>
      <c r="J51" s="3">
        <v>5894.46</v>
      </c>
    </row>
    <row r="52" spans="1:10">
      <c r="A52" t="s">
        <v>39</v>
      </c>
      <c r="B52" s="2">
        <v>46198</v>
      </c>
      <c r="C52" t="s">
        <v>23</v>
      </c>
      <c r="D52" t="s">
        <v>12</v>
      </c>
      <c r="E52" t="s">
        <v>17</v>
      </c>
      <c r="F52" t="s">
        <v>18</v>
      </c>
      <c r="G52">
        <v>2</v>
      </c>
      <c r="H52" s="3">
        <v>3420</v>
      </c>
      <c r="I52" s="4">
        <v>0.05</v>
      </c>
      <c r="J52" s="3">
        <v>368.6</v>
      </c>
    </row>
    <row r="53" spans="1:10">
      <c r="A53" t="s">
        <v>62</v>
      </c>
      <c r="B53" s="2">
        <v>46165</v>
      </c>
      <c r="C53" t="s">
        <v>26</v>
      </c>
      <c r="D53" t="s">
        <v>41</v>
      </c>
      <c r="E53" t="s">
        <v>13</v>
      </c>
      <c r="F53" t="s">
        <v>14</v>
      </c>
      <c r="G53">
        <v>4</v>
      </c>
      <c r="H53" s="3">
        <v>3600</v>
      </c>
      <c r="I53" s="4">
        <v>0.1</v>
      </c>
      <c r="J53" s="3">
        <v>556.12</v>
      </c>
    </row>
  </sheetData>
  <autoFilter ref="A1:J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/>
  <cols>
    <col min="1" max="1" width="95" customWidth="1"/>
  </cols>
  <sheetData>
    <row r="1" spans="1:1">
      <c r="A1" s="5" t="s">
        <v>96</v>
      </c>
    </row>
    <row r="3" spans="1:1">
      <c r="A3" s="6" t="s">
        <v>97</v>
      </c>
    </row>
    <row r="4" spans="1:1">
      <c r="A4" t="s">
        <v>98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  <row r="9" spans="1:1">
      <c r="A9" t="s">
        <v>103</v>
      </c>
    </row>
    <row r="10" spans="1:1">
      <c r="A10" t="s">
        <v>104</v>
      </c>
    </row>
    <row r="13" spans="1:1">
      <c r="A13" s="6" t="s">
        <v>105</v>
      </c>
    </row>
    <row r="14" spans="1:1">
      <c r="A14" t="s">
        <v>106</v>
      </c>
    </row>
    <row r="15" spans="1:1">
      <c r="A15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9239-DF02-445D-B68D-993045DDE6EB}">
  <dimension ref="A1:J53"/>
  <sheetViews>
    <sheetView workbookViewId="0">
      <selection activeCell="D25" sqref="D25"/>
    </sheetView>
  </sheetViews>
  <sheetFormatPr defaultRowHeight="15"/>
  <cols>
    <col min="2" max="2" width="12.7109375" customWidth="1"/>
    <col min="5" max="5" width="11.28515625" customWidth="1"/>
    <col min="6" max="6" width="11.85546875" customWidth="1"/>
    <col min="7" max="7" width="7.85546875" customWidth="1"/>
    <col min="8" max="8" width="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46190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 s="3">
        <v>1900</v>
      </c>
      <c r="I2" s="4">
        <v>0.05</v>
      </c>
      <c r="J2" s="3">
        <v>197.07</v>
      </c>
    </row>
    <row r="3" spans="1:10">
      <c r="A3" t="s">
        <v>15</v>
      </c>
      <c r="B3" s="2">
        <v>46053</v>
      </c>
      <c r="C3" t="s">
        <v>16</v>
      </c>
      <c r="D3" t="s">
        <v>12</v>
      </c>
      <c r="E3" t="s">
        <v>17</v>
      </c>
      <c r="F3" t="s">
        <v>18</v>
      </c>
      <c r="G3">
        <v>4</v>
      </c>
      <c r="H3" s="3">
        <v>7200</v>
      </c>
      <c r="I3" s="4">
        <v>0</v>
      </c>
      <c r="J3" s="3">
        <v>612.47</v>
      </c>
    </row>
    <row r="4" spans="1:10">
      <c r="A4" t="s">
        <v>19</v>
      </c>
      <c r="B4" s="2">
        <v>46082</v>
      </c>
      <c r="C4" t="s">
        <v>20</v>
      </c>
      <c r="D4" t="s">
        <v>12</v>
      </c>
      <c r="E4" t="s">
        <v>17</v>
      </c>
      <c r="F4" t="s">
        <v>21</v>
      </c>
      <c r="G4">
        <v>2</v>
      </c>
      <c r="H4" s="3">
        <v>11900</v>
      </c>
      <c r="I4" s="4">
        <v>0.15</v>
      </c>
      <c r="J4" s="3">
        <v>1397.95</v>
      </c>
    </row>
    <row r="5" spans="1:10">
      <c r="A5" t="s">
        <v>22</v>
      </c>
      <c r="B5" s="2">
        <v>46177</v>
      </c>
      <c r="C5" t="s">
        <v>23</v>
      </c>
      <c r="D5" t="s">
        <v>12</v>
      </c>
      <c r="E5" t="s">
        <v>13</v>
      </c>
      <c r="F5" t="s">
        <v>24</v>
      </c>
      <c r="G5">
        <v>4</v>
      </c>
      <c r="H5" s="3">
        <v>54000</v>
      </c>
      <c r="I5" s="4">
        <v>0.1</v>
      </c>
      <c r="J5" s="3">
        <v>6870.86</v>
      </c>
    </row>
    <row r="6" spans="1:10">
      <c r="A6" t="s">
        <v>25</v>
      </c>
      <c r="B6" s="2">
        <v>46082</v>
      </c>
      <c r="C6" t="s">
        <v>26</v>
      </c>
      <c r="D6" t="s">
        <v>41</v>
      </c>
      <c r="E6" t="s">
        <v>13</v>
      </c>
      <c r="F6" t="s">
        <v>28</v>
      </c>
      <c r="G6">
        <v>1</v>
      </c>
      <c r="H6" s="3">
        <v>27200</v>
      </c>
      <c r="I6" s="4">
        <v>0.15</v>
      </c>
      <c r="J6" s="3">
        <v>2623.22</v>
      </c>
    </row>
    <row r="7" spans="1:10">
      <c r="A7" t="s">
        <v>29</v>
      </c>
      <c r="B7" s="2">
        <v>46115</v>
      </c>
      <c r="C7" t="s">
        <v>30</v>
      </c>
      <c r="D7" t="s">
        <v>31</v>
      </c>
      <c r="E7" t="s">
        <v>13</v>
      </c>
      <c r="F7" t="s">
        <v>32</v>
      </c>
      <c r="G7">
        <v>4</v>
      </c>
      <c r="H7" s="3">
        <v>220000</v>
      </c>
      <c r="I7" s="4">
        <v>0</v>
      </c>
      <c r="J7" s="3">
        <v>53994.53</v>
      </c>
    </row>
    <row r="8" spans="1:10">
      <c r="A8" t="s">
        <v>33</v>
      </c>
      <c r="B8" s="2">
        <v>46123</v>
      </c>
      <c r="C8" t="s">
        <v>11</v>
      </c>
      <c r="D8" t="s">
        <v>31</v>
      </c>
      <c r="E8" t="s">
        <v>17</v>
      </c>
      <c r="F8" t="s">
        <v>18</v>
      </c>
      <c r="G8">
        <v>3</v>
      </c>
      <c r="H8" s="3">
        <v>5130</v>
      </c>
      <c r="I8" s="4">
        <v>0.05</v>
      </c>
      <c r="J8" s="3">
        <v>1024.8599999999999</v>
      </c>
    </row>
    <row r="9" spans="1:10">
      <c r="A9" t="s">
        <v>34</v>
      </c>
      <c r="B9" s="2">
        <v>46038</v>
      </c>
      <c r="C9" t="s">
        <v>16</v>
      </c>
      <c r="D9" t="s">
        <v>35</v>
      </c>
      <c r="E9" t="s">
        <v>13</v>
      </c>
      <c r="F9" t="s">
        <v>14</v>
      </c>
      <c r="G9">
        <v>1</v>
      </c>
      <c r="H9" s="3">
        <v>950</v>
      </c>
      <c r="I9" s="4">
        <v>0.05</v>
      </c>
      <c r="J9" s="3">
        <v>215.94</v>
      </c>
    </row>
    <row r="10" spans="1:10">
      <c r="A10" t="s">
        <v>36</v>
      </c>
      <c r="B10" s="2">
        <v>46124</v>
      </c>
      <c r="C10" t="s">
        <v>23</v>
      </c>
      <c r="D10" t="s">
        <v>37</v>
      </c>
      <c r="E10" t="s">
        <v>13</v>
      </c>
      <c r="F10" t="s">
        <v>38</v>
      </c>
      <c r="G10">
        <v>2</v>
      </c>
      <c r="H10" s="3">
        <v>5400</v>
      </c>
      <c r="I10" s="4">
        <v>0.1</v>
      </c>
      <c r="J10" s="3">
        <v>758.14</v>
      </c>
    </row>
    <row r="11" spans="1:10">
      <c r="A11" t="s">
        <v>39</v>
      </c>
      <c r="B11" s="2">
        <v>46198</v>
      </c>
      <c r="C11" t="s">
        <v>23</v>
      </c>
      <c r="D11" t="s">
        <v>12</v>
      </c>
      <c r="E11" t="s">
        <v>17</v>
      </c>
      <c r="F11" t="s">
        <v>18</v>
      </c>
      <c r="G11">
        <v>2</v>
      </c>
      <c r="H11" s="3">
        <v>3420</v>
      </c>
      <c r="I11" s="4">
        <v>0.05</v>
      </c>
      <c r="J11" s="3">
        <v>368.6</v>
      </c>
    </row>
    <row r="12" spans="1:10">
      <c r="A12" t="s">
        <v>40</v>
      </c>
      <c r="B12" s="2">
        <v>46124</v>
      </c>
      <c r="C12" t="s">
        <v>23</v>
      </c>
      <c r="D12" t="s">
        <v>41</v>
      </c>
      <c r="E12" t="s">
        <v>13</v>
      </c>
      <c r="F12" t="s">
        <v>38</v>
      </c>
      <c r="G12">
        <v>1</v>
      </c>
      <c r="H12" s="3">
        <v>2850</v>
      </c>
      <c r="I12" s="4">
        <v>0.05</v>
      </c>
      <c r="J12" s="3">
        <v>626.16</v>
      </c>
    </row>
    <row r="13" spans="1:10">
      <c r="A13" t="s">
        <v>42</v>
      </c>
      <c r="B13" s="2">
        <v>46107</v>
      </c>
      <c r="C13" t="s">
        <v>43</v>
      </c>
      <c r="D13" t="s">
        <v>31</v>
      </c>
      <c r="E13" t="s">
        <v>13</v>
      </c>
      <c r="F13" t="s">
        <v>28</v>
      </c>
      <c r="G13">
        <v>2</v>
      </c>
      <c r="H13" s="3">
        <v>57600</v>
      </c>
      <c r="I13" s="4">
        <v>0.1</v>
      </c>
      <c r="J13" s="3">
        <v>6690.04</v>
      </c>
    </row>
    <row r="14" spans="1:10">
      <c r="A14" t="s">
        <v>45</v>
      </c>
      <c r="B14" s="2">
        <v>46154</v>
      </c>
      <c r="C14" t="s">
        <v>43</v>
      </c>
      <c r="D14" t="s">
        <v>37</v>
      </c>
      <c r="E14" t="s">
        <v>13</v>
      </c>
      <c r="F14" t="s">
        <v>24</v>
      </c>
      <c r="G14">
        <v>3</v>
      </c>
      <c r="H14" s="3">
        <v>42750</v>
      </c>
      <c r="I14" s="4">
        <v>0.05</v>
      </c>
      <c r="J14" s="3">
        <v>5212.37</v>
      </c>
    </row>
    <row r="15" spans="1:10">
      <c r="A15" t="s">
        <v>46</v>
      </c>
      <c r="B15" s="2">
        <v>46170</v>
      </c>
      <c r="C15" t="s">
        <v>47</v>
      </c>
      <c r="D15" t="s">
        <v>31</v>
      </c>
      <c r="E15" t="s">
        <v>17</v>
      </c>
      <c r="F15" t="s">
        <v>18</v>
      </c>
      <c r="G15">
        <v>4</v>
      </c>
      <c r="H15" s="3">
        <v>6120</v>
      </c>
      <c r="I15" s="4">
        <v>0.15</v>
      </c>
      <c r="J15" s="3">
        <v>866.22</v>
      </c>
    </row>
    <row r="16" spans="1:10">
      <c r="A16" t="s">
        <v>48</v>
      </c>
      <c r="B16" s="2">
        <v>46062</v>
      </c>
      <c r="C16" t="s">
        <v>47</v>
      </c>
      <c r="D16" t="s">
        <v>37</v>
      </c>
      <c r="E16" t="s">
        <v>13</v>
      </c>
      <c r="F16" t="s">
        <v>28</v>
      </c>
      <c r="G16">
        <v>1</v>
      </c>
      <c r="H16" s="3">
        <v>32000</v>
      </c>
      <c r="I16" s="4">
        <v>0</v>
      </c>
      <c r="J16" s="3">
        <v>3391.46</v>
      </c>
    </row>
    <row r="17" spans="1:10">
      <c r="A17" t="s">
        <v>49</v>
      </c>
      <c r="B17" s="2">
        <v>46067</v>
      </c>
      <c r="C17" t="s">
        <v>26</v>
      </c>
      <c r="D17" t="s">
        <v>37</v>
      </c>
      <c r="E17" t="s">
        <v>17</v>
      </c>
      <c r="F17" t="s">
        <v>32</v>
      </c>
      <c r="G17">
        <v>1</v>
      </c>
      <c r="H17" s="3">
        <v>1530</v>
      </c>
      <c r="I17" s="4">
        <v>0.15</v>
      </c>
      <c r="J17" s="3">
        <v>221.66</v>
      </c>
    </row>
    <row r="18" spans="1:10">
      <c r="A18" t="s">
        <v>51</v>
      </c>
      <c r="B18" s="2">
        <v>46146</v>
      </c>
      <c r="C18" t="s">
        <v>47</v>
      </c>
      <c r="D18" t="s">
        <v>31</v>
      </c>
      <c r="E18" t="s">
        <v>17</v>
      </c>
      <c r="F18" t="s">
        <v>21</v>
      </c>
      <c r="G18">
        <v>1</v>
      </c>
      <c r="H18" s="3">
        <v>7000</v>
      </c>
      <c r="I18" s="4">
        <v>0</v>
      </c>
      <c r="J18" s="3">
        <v>1371.24</v>
      </c>
    </row>
    <row r="19" spans="1:10">
      <c r="A19" t="s">
        <v>52</v>
      </c>
      <c r="B19" s="2">
        <v>46164</v>
      </c>
      <c r="C19" t="s">
        <v>26</v>
      </c>
      <c r="D19" t="s">
        <v>31</v>
      </c>
      <c r="E19" t="s">
        <v>13</v>
      </c>
      <c r="F19" t="s">
        <v>38</v>
      </c>
      <c r="G19">
        <v>1</v>
      </c>
      <c r="H19" s="3">
        <v>2700</v>
      </c>
      <c r="I19" s="4">
        <v>0.1</v>
      </c>
      <c r="J19" s="3">
        <v>415.56</v>
      </c>
    </row>
    <row r="20" spans="1:10">
      <c r="A20" t="s">
        <v>53</v>
      </c>
      <c r="B20" s="2">
        <v>46143</v>
      </c>
      <c r="C20" t="s">
        <v>108</v>
      </c>
      <c r="D20" t="s">
        <v>31</v>
      </c>
      <c r="E20" t="s">
        <v>17</v>
      </c>
      <c r="F20" t="s">
        <v>21</v>
      </c>
      <c r="G20">
        <v>2</v>
      </c>
      <c r="H20" s="3">
        <v>14000</v>
      </c>
      <c r="I20" s="4">
        <v>0</v>
      </c>
      <c r="J20" s="3">
        <v>3191.83</v>
      </c>
    </row>
    <row r="21" spans="1:10">
      <c r="A21" t="s">
        <v>54</v>
      </c>
      <c r="B21" s="2">
        <v>46103</v>
      </c>
      <c r="C21" t="s">
        <v>55</v>
      </c>
      <c r="D21" t="s">
        <v>41</v>
      </c>
      <c r="E21" t="s">
        <v>13</v>
      </c>
      <c r="F21" t="s">
        <v>24</v>
      </c>
      <c r="G21">
        <v>3</v>
      </c>
      <c r="H21" s="3">
        <v>42750</v>
      </c>
      <c r="I21" s="4">
        <v>0.05</v>
      </c>
      <c r="J21" s="3">
        <v>7339.94</v>
      </c>
    </row>
    <row r="22" spans="1:10">
      <c r="A22" t="s">
        <v>56</v>
      </c>
      <c r="B22" s="2">
        <v>46162</v>
      </c>
      <c r="C22" t="s">
        <v>57</v>
      </c>
      <c r="D22" t="s">
        <v>12</v>
      </c>
      <c r="E22" t="s">
        <v>17</v>
      </c>
      <c r="F22" t="s">
        <v>18</v>
      </c>
      <c r="G22">
        <v>3</v>
      </c>
      <c r="H22" s="3">
        <v>4590</v>
      </c>
      <c r="I22" s="4">
        <v>0.15</v>
      </c>
      <c r="J22" s="3">
        <v>382.4</v>
      </c>
    </row>
    <row r="23" spans="1:10">
      <c r="A23" t="s">
        <v>58</v>
      </c>
      <c r="B23" s="2">
        <v>46119</v>
      </c>
      <c r="C23" t="s">
        <v>57</v>
      </c>
      <c r="D23" t="s">
        <v>31</v>
      </c>
      <c r="E23" t="s">
        <v>13</v>
      </c>
      <c r="F23" t="s">
        <v>59</v>
      </c>
      <c r="G23">
        <v>1</v>
      </c>
      <c r="H23" s="3">
        <v>2375</v>
      </c>
      <c r="I23" s="4">
        <v>0.05</v>
      </c>
      <c r="J23" s="3">
        <v>544.5</v>
      </c>
    </row>
    <row r="24" spans="1:10">
      <c r="A24" t="s">
        <v>60</v>
      </c>
      <c r="B24" s="2">
        <v>46047</v>
      </c>
      <c r="C24" t="s">
        <v>11</v>
      </c>
      <c r="D24" t="s">
        <v>108</v>
      </c>
      <c r="E24" t="s">
        <v>13</v>
      </c>
      <c r="F24" t="s">
        <v>28</v>
      </c>
      <c r="G24">
        <v>5</v>
      </c>
      <c r="H24" s="3">
        <v>152000</v>
      </c>
      <c r="I24" s="4">
        <v>0.05</v>
      </c>
      <c r="J24" s="3">
        <v>15477.64</v>
      </c>
    </row>
    <row r="25" spans="1:10">
      <c r="A25" t="s">
        <v>61</v>
      </c>
      <c r="B25" s="2">
        <v>46148</v>
      </c>
      <c r="C25" t="s">
        <v>47</v>
      </c>
      <c r="D25" t="s">
        <v>41</v>
      </c>
      <c r="E25" t="s">
        <v>13</v>
      </c>
      <c r="F25" t="s">
        <v>14</v>
      </c>
      <c r="G25">
        <v>5</v>
      </c>
      <c r="H25" s="3">
        <v>4250</v>
      </c>
      <c r="I25" s="4">
        <v>0.15</v>
      </c>
      <c r="J25" s="3">
        <v>1036.75</v>
      </c>
    </row>
    <row r="26" spans="1:10">
      <c r="A26" t="s">
        <v>62</v>
      </c>
      <c r="B26" s="2">
        <v>46165</v>
      </c>
      <c r="C26" t="s">
        <v>26</v>
      </c>
      <c r="D26" t="s">
        <v>41</v>
      </c>
      <c r="E26" t="s">
        <v>13</v>
      </c>
      <c r="F26" t="s">
        <v>14</v>
      </c>
      <c r="G26">
        <v>4</v>
      </c>
      <c r="H26" s="3">
        <v>3600</v>
      </c>
      <c r="I26" s="4">
        <v>0.1</v>
      </c>
      <c r="J26" s="3">
        <v>556.12</v>
      </c>
    </row>
    <row r="27" spans="1:10">
      <c r="A27" t="s">
        <v>63</v>
      </c>
      <c r="B27" s="2">
        <v>46159</v>
      </c>
      <c r="C27" t="s">
        <v>64</v>
      </c>
      <c r="D27" t="s">
        <v>12</v>
      </c>
      <c r="E27" t="s">
        <v>13</v>
      </c>
      <c r="F27" t="s">
        <v>59</v>
      </c>
      <c r="G27">
        <v>2</v>
      </c>
      <c r="H27" s="3">
        <v>5000</v>
      </c>
      <c r="I27" s="4">
        <v>0</v>
      </c>
      <c r="J27" s="3">
        <v>687.37</v>
      </c>
    </row>
    <row r="28" spans="1:10">
      <c r="A28" t="s">
        <v>65</v>
      </c>
      <c r="B28" s="2">
        <v>46177</v>
      </c>
      <c r="C28" t="s">
        <v>47</v>
      </c>
      <c r="D28" t="s">
        <v>41</v>
      </c>
      <c r="E28" t="s">
        <v>17</v>
      </c>
      <c r="F28" t="s">
        <v>18</v>
      </c>
      <c r="G28">
        <v>2</v>
      </c>
      <c r="H28" s="3">
        <v>3600</v>
      </c>
      <c r="I28" s="4">
        <v>0</v>
      </c>
      <c r="J28" s="3">
        <v>331.45</v>
      </c>
    </row>
    <row r="29" spans="1:10">
      <c r="A29" t="s">
        <v>66</v>
      </c>
      <c r="B29" s="2">
        <v>46188</v>
      </c>
      <c r="C29" t="s">
        <v>47</v>
      </c>
      <c r="D29" t="s">
        <v>41</v>
      </c>
      <c r="E29" t="s">
        <v>13</v>
      </c>
      <c r="F29" t="s">
        <v>28</v>
      </c>
      <c r="G29">
        <v>1</v>
      </c>
      <c r="H29" s="3">
        <v>28800</v>
      </c>
      <c r="I29" s="4">
        <v>0.1</v>
      </c>
      <c r="J29" s="3">
        <v>2650.92</v>
      </c>
    </row>
    <row r="30" spans="1:10">
      <c r="A30" t="s">
        <v>68</v>
      </c>
      <c r="B30" s="2">
        <v>46087</v>
      </c>
      <c r="C30" t="s">
        <v>23</v>
      </c>
      <c r="D30" t="s">
        <v>37</v>
      </c>
      <c r="E30" t="s">
        <v>13</v>
      </c>
      <c r="F30" t="s">
        <v>59</v>
      </c>
      <c r="G30">
        <v>5</v>
      </c>
      <c r="H30" s="3">
        <v>11875</v>
      </c>
      <c r="I30" s="4">
        <v>0.05</v>
      </c>
      <c r="J30" s="3">
        <v>2410.27</v>
      </c>
    </row>
    <row r="31" spans="1:10">
      <c r="A31" t="s">
        <v>69</v>
      </c>
      <c r="B31" s="2">
        <v>46173</v>
      </c>
      <c r="C31" t="s">
        <v>30</v>
      </c>
      <c r="D31" t="s">
        <v>37</v>
      </c>
      <c r="E31" t="s">
        <v>13</v>
      </c>
      <c r="F31" t="s">
        <v>59</v>
      </c>
      <c r="G31">
        <v>4</v>
      </c>
      <c r="H31" s="3">
        <v>8500</v>
      </c>
      <c r="I31" s="4">
        <v>0.15</v>
      </c>
      <c r="J31" s="3">
        <v>955.14</v>
      </c>
    </row>
    <row r="32" spans="1:10">
      <c r="A32" t="s">
        <v>70</v>
      </c>
      <c r="B32" s="2">
        <v>46051</v>
      </c>
      <c r="C32" t="s">
        <v>16</v>
      </c>
      <c r="D32" t="s">
        <v>37</v>
      </c>
      <c r="E32" t="s">
        <v>13</v>
      </c>
      <c r="F32" t="s">
        <v>38</v>
      </c>
      <c r="G32">
        <v>4</v>
      </c>
      <c r="H32" s="3">
        <v>10200</v>
      </c>
      <c r="I32" s="4">
        <v>0.15</v>
      </c>
      <c r="J32" s="3">
        <v>1625.82</v>
      </c>
    </row>
    <row r="33" spans="1:10">
      <c r="A33" t="s">
        <v>71</v>
      </c>
      <c r="B33" s="2">
        <v>46040</v>
      </c>
      <c r="C33" t="s">
        <v>16</v>
      </c>
      <c r="D33" t="s">
        <v>12</v>
      </c>
      <c r="E33" t="s">
        <v>17</v>
      </c>
      <c r="F33" t="s">
        <v>32</v>
      </c>
      <c r="G33">
        <v>4</v>
      </c>
      <c r="H33" s="3">
        <v>198000</v>
      </c>
      <c r="I33" s="4">
        <v>0.1</v>
      </c>
      <c r="J33" s="3">
        <v>42787.94</v>
      </c>
    </row>
    <row r="34" spans="1:10">
      <c r="A34" t="s">
        <v>73</v>
      </c>
      <c r="B34" s="2">
        <v>46054</v>
      </c>
      <c r="C34" t="s">
        <v>20</v>
      </c>
      <c r="D34" t="s">
        <v>41</v>
      </c>
      <c r="E34" t="s">
        <v>13</v>
      </c>
      <c r="F34" t="s">
        <v>59</v>
      </c>
      <c r="G34">
        <v>5</v>
      </c>
      <c r="H34" s="3">
        <v>10625</v>
      </c>
      <c r="I34" s="4">
        <v>0.15</v>
      </c>
      <c r="J34" s="3">
        <v>1103.2</v>
      </c>
    </row>
    <row r="35" spans="1:10">
      <c r="A35" t="s">
        <v>74</v>
      </c>
      <c r="B35" s="2">
        <v>46073</v>
      </c>
      <c r="C35" t="s">
        <v>23</v>
      </c>
      <c r="D35" t="s">
        <v>37</v>
      </c>
      <c r="E35" t="s">
        <v>13</v>
      </c>
      <c r="F35" t="s">
        <v>59</v>
      </c>
      <c r="G35">
        <v>1</v>
      </c>
      <c r="H35" s="3">
        <v>2125</v>
      </c>
      <c r="I35" s="4">
        <v>0.15</v>
      </c>
      <c r="J35" s="3">
        <v>461.9</v>
      </c>
    </row>
    <row r="36" spans="1:10">
      <c r="A36" t="s">
        <v>75</v>
      </c>
      <c r="B36" s="2">
        <v>46167</v>
      </c>
      <c r="C36" t="s">
        <v>11</v>
      </c>
      <c r="D36" t="s">
        <v>12</v>
      </c>
      <c r="E36" t="s">
        <v>17</v>
      </c>
      <c r="F36" t="s">
        <v>21</v>
      </c>
      <c r="G36">
        <v>1</v>
      </c>
      <c r="H36" s="3">
        <v>7000</v>
      </c>
      <c r="I36" s="4">
        <v>0</v>
      </c>
      <c r="J36" s="3">
        <v>1662.38</v>
      </c>
    </row>
    <row r="37" spans="1:10">
      <c r="A37" t="s">
        <v>76</v>
      </c>
      <c r="B37" s="2">
        <v>46087</v>
      </c>
      <c r="C37" t="s">
        <v>77</v>
      </c>
      <c r="D37" t="s">
        <v>37</v>
      </c>
      <c r="E37" t="s">
        <v>17</v>
      </c>
      <c r="F37" t="s">
        <v>14</v>
      </c>
      <c r="G37">
        <v>4</v>
      </c>
      <c r="H37" s="3">
        <v>45600</v>
      </c>
      <c r="I37" s="4">
        <v>0.05</v>
      </c>
      <c r="J37" s="3">
        <v>10350.77</v>
      </c>
    </row>
    <row r="38" spans="1:10">
      <c r="A38" t="s">
        <v>79</v>
      </c>
      <c r="B38" s="2">
        <v>46042</v>
      </c>
      <c r="C38" t="s">
        <v>77</v>
      </c>
      <c r="D38" t="s">
        <v>37</v>
      </c>
      <c r="E38" t="s">
        <v>13</v>
      </c>
      <c r="F38" t="s">
        <v>32</v>
      </c>
      <c r="G38">
        <v>4</v>
      </c>
      <c r="H38" s="3">
        <v>198000</v>
      </c>
      <c r="I38" s="4">
        <v>0.1</v>
      </c>
      <c r="J38" s="3">
        <v>47026.6</v>
      </c>
    </row>
    <row r="39" spans="1:10">
      <c r="A39" t="s">
        <v>80</v>
      </c>
      <c r="B39" s="2">
        <v>46143</v>
      </c>
      <c r="C39" t="s">
        <v>23</v>
      </c>
      <c r="D39" t="s">
        <v>37</v>
      </c>
      <c r="E39" t="s">
        <v>17</v>
      </c>
      <c r="F39" t="s">
        <v>21</v>
      </c>
      <c r="G39">
        <v>4</v>
      </c>
      <c r="H39" s="3">
        <v>26600</v>
      </c>
      <c r="I39" s="4">
        <v>0.05</v>
      </c>
      <c r="J39" s="3">
        <v>2986.72</v>
      </c>
    </row>
    <row r="40" spans="1:10">
      <c r="A40" t="s">
        <v>81</v>
      </c>
      <c r="B40" s="2">
        <v>46082</v>
      </c>
      <c r="C40" t="s">
        <v>82</v>
      </c>
      <c r="D40" t="s">
        <v>12</v>
      </c>
      <c r="E40" t="s">
        <v>13</v>
      </c>
      <c r="F40" t="s">
        <v>38</v>
      </c>
      <c r="G40">
        <v>1</v>
      </c>
      <c r="H40" s="3">
        <v>10000</v>
      </c>
      <c r="I40" s="4">
        <v>0</v>
      </c>
      <c r="J40" s="3">
        <v>537.92999999999995</v>
      </c>
    </row>
    <row r="41" spans="1:10">
      <c r="A41" t="s">
        <v>83</v>
      </c>
      <c r="B41" s="2">
        <v>46155</v>
      </c>
      <c r="C41" t="s">
        <v>57</v>
      </c>
      <c r="D41" t="s">
        <v>41</v>
      </c>
      <c r="E41" t="s">
        <v>13</v>
      </c>
      <c r="F41" t="s">
        <v>32</v>
      </c>
      <c r="G41">
        <v>5</v>
      </c>
      <c r="H41" s="3">
        <v>275000</v>
      </c>
      <c r="I41" s="4">
        <v>0</v>
      </c>
      <c r="J41" s="3">
        <v>61800.26</v>
      </c>
    </row>
    <row r="42" spans="1:10">
      <c r="A42" t="s">
        <v>84</v>
      </c>
      <c r="B42" s="2">
        <v>46044</v>
      </c>
      <c r="C42" t="s">
        <v>108</v>
      </c>
      <c r="D42" t="s">
        <v>12</v>
      </c>
      <c r="E42" t="s">
        <v>13</v>
      </c>
      <c r="F42" t="s">
        <v>59</v>
      </c>
      <c r="G42">
        <v>4</v>
      </c>
      <c r="H42" s="3">
        <v>10000</v>
      </c>
      <c r="I42" s="4">
        <v>0</v>
      </c>
      <c r="J42" s="3">
        <v>2400.71</v>
      </c>
    </row>
    <row r="43" spans="1:10">
      <c r="A43" t="s">
        <v>85</v>
      </c>
      <c r="B43" s="2">
        <v>46172</v>
      </c>
      <c r="C43" t="s">
        <v>20</v>
      </c>
      <c r="D43" t="s">
        <v>12</v>
      </c>
      <c r="E43" t="s">
        <v>17</v>
      </c>
      <c r="F43" t="s">
        <v>18</v>
      </c>
      <c r="G43">
        <v>1</v>
      </c>
      <c r="H43" s="3">
        <v>1530</v>
      </c>
      <c r="I43" s="4">
        <v>0.15</v>
      </c>
      <c r="J43" s="3">
        <v>293.38</v>
      </c>
    </row>
    <row r="44" spans="1:10">
      <c r="A44" t="s">
        <v>86</v>
      </c>
      <c r="B44" s="2">
        <v>46171</v>
      </c>
      <c r="C44" t="s">
        <v>47</v>
      </c>
      <c r="D44" t="s">
        <v>31</v>
      </c>
      <c r="E44" t="s">
        <v>13</v>
      </c>
      <c r="F44" t="s">
        <v>14</v>
      </c>
      <c r="G44">
        <v>2</v>
      </c>
      <c r="H44" s="3">
        <v>1800</v>
      </c>
      <c r="I44" s="4">
        <v>0.1</v>
      </c>
      <c r="J44" s="3">
        <v>217.04</v>
      </c>
    </row>
    <row r="45" spans="1:10">
      <c r="A45" t="s">
        <v>87</v>
      </c>
      <c r="B45" s="2">
        <v>46128</v>
      </c>
      <c r="C45" t="s">
        <v>77</v>
      </c>
      <c r="D45" t="s">
        <v>31</v>
      </c>
      <c r="E45" t="s">
        <v>17</v>
      </c>
      <c r="F45" t="s">
        <v>88</v>
      </c>
      <c r="G45">
        <v>3</v>
      </c>
      <c r="H45" s="3">
        <v>36000</v>
      </c>
      <c r="I45" s="4">
        <v>0</v>
      </c>
      <c r="J45" s="3">
        <v>2937.01</v>
      </c>
    </row>
    <row r="46" spans="1:10">
      <c r="A46" t="s">
        <v>89</v>
      </c>
      <c r="B46" s="2">
        <v>46186</v>
      </c>
      <c r="C46" t="s">
        <v>30</v>
      </c>
      <c r="D46" t="s">
        <v>109</v>
      </c>
      <c r="E46" t="s">
        <v>13</v>
      </c>
      <c r="F46" t="s">
        <v>28</v>
      </c>
      <c r="G46">
        <v>5</v>
      </c>
      <c r="H46" s="3">
        <v>152000</v>
      </c>
      <c r="I46" s="4">
        <v>0.05</v>
      </c>
      <c r="J46" s="3">
        <v>25232.06</v>
      </c>
    </row>
    <row r="47" spans="1:10">
      <c r="A47" t="s">
        <v>91</v>
      </c>
      <c r="B47" s="2">
        <v>46060</v>
      </c>
      <c r="C47" t="s">
        <v>57</v>
      </c>
      <c r="D47" t="s">
        <v>31</v>
      </c>
      <c r="E47" t="s">
        <v>13</v>
      </c>
      <c r="F47" t="s">
        <v>28</v>
      </c>
      <c r="G47">
        <v>2</v>
      </c>
      <c r="H47" s="3">
        <v>57600</v>
      </c>
      <c r="I47" s="4">
        <v>0.1</v>
      </c>
      <c r="J47" s="3">
        <v>7398.6</v>
      </c>
    </row>
    <row r="48" spans="1:10">
      <c r="A48" t="s">
        <v>92</v>
      </c>
      <c r="B48" s="2">
        <v>46139</v>
      </c>
      <c r="C48" t="s">
        <v>55</v>
      </c>
      <c r="D48" t="s">
        <v>31</v>
      </c>
      <c r="E48" t="s">
        <v>17</v>
      </c>
      <c r="F48" t="s">
        <v>18</v>
      </c>
      <c r="G48">
        <v>5</v>
      </c>
      <c r="H48" s="3">
        <v>9000</v>
      </c>
      <c r="I48" s="4">
        <v>0</v>
      </c>
      <c r="J48" s="3">
        <v>1741.83</v>
      </c>
    </row>
    <row r="49" spans="1:10">
      <c r="A49" t="s">
        <v>93</v>
      </c>
      <c r="B49" s="2">
        <v>46168</v>
      </c>
      <c r="C49" t="s">
        <v>23</v>
      </c>
      <c r="D49" t="s">
        <v>12</v>
      </c>
      <c r="E49" t="s">
        <v>13</v>
      </c>
      <c r="F49" t="s">
        <v>24</v>
      </c>
      <c r="G49">
        <v>3</v>
      </c>
      <c r="H49" s="3">
        <v>45000</v>
      </c>
      <c r="I49" s="4">
        <v>0</v>
      </c>
      <c r="J49" s="3">
        <v>1397.95</v>
      </c>
    </row>
    <row r="50" spans="1:10">
      <c r="A50" t="s">
        <v>94</v>
      </c>
      <c r="B50" s="2">
        <v>46168</v>
      </c>
      <c r="C50" t="s">
        <v>77</v>
      </c>
      <c r="D50" t="s">
        <v>31</v>
      </c>
      <c r="E50" t="s">
        <v>13</v>
      </c>
      <c r="F50" t="s">
        <v>14</v>
      </c>
      <c r="G50">
        <v>5</v>
      </c>
      <c r="H50" s="3">
        <v>4750</v>
      </c>
      <c r="I50" s="4">
        <v>0.05</v>
      </c>
      <c r="J50" s="3">
        <v>959.47</v>
      </c>
    </row>
    <row r="51" spans="1:10">
      <c r="A51" t="s">
        <v>95</v>
      </c>
      <c r="B51" s="2">
        <v>46079</v>
      </c>
      <c r="C51" t="s">
        <v>16</v>
      </c>
      <c r="D51" t="s">
        <v>31</v>
      </c>
      <c r="E51" t="s">
        <v>17</v>
      </c>
      <c r="F51" t="s">
        <v>21</v>
      </c>
      <c r="G51">
        <v>4</v>
      </c>
      <c r="H51" s="3">
        <v>25200</v>
      </c>
      <c r="I51" s="4">
        <v>0.1</v>
      </c>
      <c r="J51" s="3">
        <v>5894.46</v>
      </c>
    </row>
    <row r="53" spans="1:10">
      <c r="H53" s="3"/>
      <c r="J53" s="3"/>
    </row>
  </sheetData>
  <autoFilter ref="A1:J51" xr:uid="{A36F9239-DF02-445D-B68D-993045DDE6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D3E0-0139-4158-A556-2C3E5A62D9FC}">
  <dimension ref="A1:L69"/>
  <sheetViews>
    <sheetView topLeftCell="A51" workbookViewId="0">
      <selection activeCell="H76" sqref="H76"/>
    </sheetView>
  </sheetViews>
  <sheetFormatPr defaultRowHeight="15"/>
  <cols>
    <col min="1" max="1" width="17" customWidth="1"/>
    <col min="2" max="2" width="15.5703125" customWidth="1"/>
    <col min="3" max="3" width="13.28515625" customWidth="1"/>
    <col min="4" max="4" width="14.140625" customWidth="1"/>
    <col min="6" max="6" width="9.28515625" bestFit="1" customWidth="1"/>
    <col min="7" max="7" width="15" customWidth="1"/>
    <col min="8" max="8" width="13.85546875" customWidth="1"/>
    <col min="10" max="10" width="12.85546875" customWidth="1"/>
    <col min="11" max="11" width="11.28515625" customWidth="1"/>
    <col min="12" max="12" width="10.7109375" customWidth="1"/>
  </cols>
  <sheetData>
    <row r="1" spans="1:9">
      <c r="A1" t="s">
        <v>110</v>
      </c>
      <c r="B1" t="s">
        <v>111</v>
      </c>
    </row>
    <row r="2" spans="1:9">
      <c r="A2" t="s">
        <v>112</v>
      </c>
      <c r="B2" s="3">
        <f>SUM(Cleaned_Data!H2:H51)</f>
        <v>1897020</v>
      </c>
    </row>
    <row r="3" spans="1:9">
      <c r="A3" t="s">
        <v>113</v>
      </c>
      <c r="B3" s="3">
        <f>SUM(Cleaned_Data!J2:J51)</f>
        <v>341238.71</v>
      </c>
    </row>
    <row r="4" spans="1:9">
      <c r="A4" t="s">
        <v>114</v>
      </c>
      <c r="B4" s="3">
        <f>AVERAGE(Cleaned_Data!H2:H51)</f>
        <v>37940.400000000001</v>
      </c>
    </row>
    <row r="5" spans="1:9">
      <c r="A5" t="s">
        <v>115</v>
      </c>
      <c r="B5">
        <f>COUNTA(Cleaned_Data!A2:A51)</f>
        <v>50</v>
      </c>
    </row>
    <row r="6" spans="1:9">
      <c r="A6" t="s">
        <v>116</v>
      </c>
      <c r="B6" s="3">
        <f>MAX(Cleaned_Data!H2:H51)</f>
        <v>275000</v>
      </c>
    </row>
    <row r="7" spans="1:9">
      <c r="A7" t="s">
        <v>117</v>
      </c>
      <c r="B7">
        <f>SUM(Cleaned_Data!G2:G51)</f>
        <v>143</v>
      </c>
    </row>
    <row r="8" spans="1:9">
      <c r="A8" t="s">
        <v>118</v>
      </c>
      <c r="B8" s="4">
        <f>AVERAGE(Cleaned_Data!I2:I51)</f>
        <v>6.8999999999999992E-2</v>
      </c>
    </row>
    <row r="11" spans="1:9">
      <c r="A11" t="s">
        <v>5</v>
      </c>
      <c r="B11" t="s">
        <v>112</v>
      </c>
      <c r="C11" t="s">
        <v>113</v>
      </c>
      <c r="D11" t="s">
        <v>119</v>
      </c>
      <c r="F11" t="str" cm="1">
        <f t="array" ref="F11:I19">_xlfn._xlws.SORT(A12:D20,2,-1)</f>
        <v>Laptop</v>
      </c>
      <c r="G11">
        <v>892530</v>
      </c>
      <c r="H11">
        <v>205830.99000000002</v>
      </c>
      <c r="I11">
        <v>18</v>
      </c>
    </row>
    <row r="12" spans="1:9">
      <c r="A12" t="str" cm="1">
        <f t="array" ref="A12:A20">_xlfn.UNIQUE(Cleaned_Data!F2:F51)</f>
        <v>Mouse</v>
      </c>
      <c r="B12">
        <f>SUMIF(Cleaned_Data!F$2:F$51,A12,Cleaned_Data!H$2:H$51)</f>
        <v>62850</v>
      </c>
      <c r="C12">
        <f>SUMIF(Cleaned_Data!F$2:F$51,A12,Cleaned_Data!J$2:J$51)</f>
        <v>13533.160000000002</v>
      </c>
      <c r="D12">
        <f>SUMIF(Cleaned_Data!F$2:F$51,A12,Cleaned_Data!G$2:G$51)</f>
        <v>23</v>
      </c>
      <c r="F12" t="str">
        <v>Smartphone</v>
      </c>
      <c r="G12">
        <v>507200</v>
      </c>
      <c r="H12">
        <v>63463.939999999995</v>
      </c>
      <c r="I12">
        <v>17</v>
      </c>
    </row>
    <row r="13" spans="1:9">
      <c r="A13" t="str">
        <v>Desk Lamp</v>
      </c>
      <c r="B13">
        <f>SUMIF(Cleaned_Data!F$2:F$51,A13,Cleaned_Data!H$2:H$51)</f>
        <v>40590</v>
      </c>
      <c r="C13">
        <f>SUMIF(Cleaned_Data!F$2:F$51,A13,Cleaned_Data!J$2:J$51)</f>
        <v>5621.2099999999991</v>
      </c>
      <c r="D13">
        <f>SUMIF(Cleaned_Data!F$2:F$51,A13,Cleaned_Data!G$2:G$51)</f>
        <v>24</v>
      </c>
      <c r="F13" t="str">
        <v>Monitor</v>
      </c>
      <c r="G13">
        <v>184500</v>
      </c>
      <c r="H13">
        <v>20821.12</v>
      </c>
      <c r="I13">
        <v>13</v>
      </c>
    </row>
    <row r="14" spans="1:9">
      <c r="A14" t="str">
        <v>Bookshelf</v>
      </c>
      <c r="B14">
        <f>SUMIF(Cleaned_Data!F$2:F$51,A14,Cleaned_Data!H$2:H$51)</f>
        <v>91700</v>
      </c>
      <c r="C14">
        <f>SUMIF(Cleaned_Data!F$2:F$51,A14,Cleaned_Data!J$2:J$51)</f>
        <v>16504.580000000002</v>
      </c>
      <c r="D14">
        <f>SUMIF(Cleaned_Data!F$2:F$51,A14,Cleaned_Data!G$2:G$51)</f>
        <v>14</v>
      </c>
      <c r="F14" t="str">
        <v>Bookshelf</v>
      </c>
      <c r="G14">
        <v>91700</v>
      </c>
      <c r="H14">
        <v>16504.580000000002</v>
      </c>
      <c r="I14">
        <v>14</v>
      </c>
    </row>
    <row r="15" spans="1:9">
      <c r="A15" t="str">
        <v>Monitor</v>
      </c>
      <c r="B15">
        <f>SUMIF(Cleaned_Data!F$2:F$51,A15,Cleaned_Data!H$2:H$51)</f>
        <v>184500</v>
      </c>
      <c r="C15">
        <f>SUMIF(Cleaned_Data!F$2:F$51,A15,Cleaned_Data!J$2:J$51)</f>
        <v>20821.12</v>
      </c>
      <c r="D15">
        <f>SUMIF(Cleaned_Data!F$2:F$51,A15,Cleaned_Data!G$2:G$51)</f>
        <v>13</v>
      </c>
      <c r="F15" t="str">
        <v>Mouse</v>
      </c>
      <c r="G15">
        <v>62850</v>
      </c>
      <c r="H15">
        <v>13533.160000000002</v>
      </c>
      <c r="I15">
        <v>23</v>
      </c>
    </row>
    <row r="16" spans="1:9">
      <c r="A16" t="str">
        <v>Smartphone</v>
      </c>
      <c r="B16">
        <f>SUMIF(Cleaned_Data!F$2:F$51,A16,Cleaned_Data!H$2:H$51)</f>
        <v>507200</v>
      </c>
      <c r="C16">
        <f>SUMIF(Cleaned_Data!F$2:F$51,A16,Cleaned_Data!J$2:J$51)</f>
        <v>63463.939999999995</v>
      </c>
      <c r="D16">
        <f>SUMIF(Cleaned_Data!F$2:F$51,A16,Cleaned_Data!G$2:G$51)</f>
        <v>17</v>
      </c>
      <c r="F16" t="str">
        <v>Keyboard</v>
      </c>
      <c r="G16">
        <v>50500</v>
      </c>
      <c r="H16">
        <v>8563.09</v>
      </c>
      <c r="I16">
        <v>22</v>
      </c>
    </row>
    <row r="17" spans="1:9">
      <c r="A17" t="str">
        <v>Laptop</v>
      </c>
      <c r="B17">
        <f>SUMIF(Cleaned_Data!F$2:F$51,A17,Cleaned_Data!H$2:H$51)</f>
        <v>892530</v>
      </c>
      <c r="C17">
        <f>SUMIF(Cleaned_Data!F$2:F$51,A17,Cleaned_Data!J$2:J$51)</f>
        <v>205830.99000000002</v>
      </c>
      <c r="D17">
        <f>SUMIF(Cleaned_Data!F$2:F$51,A17,Cleaned_Data!G$2:G$51)</f>
        <v>18</v>
      </c>
      <c r="F17" t="str">
        <v>Desk Lamp</v>
      </c>
      <c r="G17">
        <v>40590</v>
      </c>
      <c r="H17">
        <v>5621.2099999999991</v>
      </c>
      <c r="I17">
        <v>24</v>
      </c>
    </row>
    <row r="18" spans="1:9">
      <c r="A18" t="str">
        <v>Headphones</v>
      </c>
      <c r="B18">
        <f>SUMIF(Cleaned_Data!F$2:F$51,A18,Cleaned_Data!H$2:H$51)</f>
        <v>31150</v>
      </c>
      <c r="C18">
        <f>SUMIF(Cleaned_Data!F$2:F$51,A18,Cleaned_Data!J$2:J$51)</f>
        <v>3963.6099999999997</v>
      </c>
      <c r="D18">
        <f>SUMIF(Cleaned_Data!F$2:F$51,A18,Cleaned_Data!G$2:G$51)</f>
        <v>9</v>
      </c>
      <c r="F18" t="str">
        <v>Study Table</v>
      </c>
      <c r="G18">
        <v>36000</v>
      </c>
      <c r="H18">
        <v>2937.01</v>
      </c>
      <c r="I18">
        <v>3</v>
      </c>
    </row>
    <row r="19" spans="1:9">
      <c r="A19" t="str">
        <v>Keyboard</v>
      </c>
      <c r="B19">
        <f>SUMIF(Cleaned_Data!F$2:F$51,A19,Cleaned_Data!H$2:H$51)</f>
        <v>50500</v>
      </c>
      <c r="C19">
        <f>SUMIF(Cleaned_Data!F$2:F$51,A19,Cleaned_Data!J$2:J$51)</f>
        <v>8563.09</v>
      </c>
      <c r="D19">
        <f>SUMIF(Cleaned_Data!F$2:F$51,A19,Cleaned_Data!G$2:G$51)</f>
        <v>22</v>
      </c>
      <c r="F19" t="str">
        <v>Headphones</v>
      </c>
      <c r="G19">
        <v>31150</v>
      </c>
      <c r="H19">
        <v>3963.6099999999997</v>
      </c>
      <c r="I19">
        <v>9</v>
      </c>
    </row>
    <row r="20" spans="1:9">
      <c r="A20" t="str">
        <v>Study Table</v>
      </c>
      <c r="B20">
        <f>SUMIF(Cleaned_Data!F$2:F$51,A20,Cleaned_Data!H$2:H$51)</f>
        <v>36000</v>
      </c>
      <c r="C20">
        <f>SUMIF(Cleaned_Data!F$2:F$51,A20,Cleaned_Data!J$2:J$51)</f>
        <v>2937.01</v>
      </c>
      <c r="D20">
        <f>SUMIF(Cleaned_Data!F$2:F$51,A20,Cleaned_Data!G$2:G$51)</f>
        <v>3</v>
      </c>
    </row>
    <row r="23" spans="1:9">
      <c r="F23" t="str" cm="1">
        <f t="array" ref="F23:F24">_xlfn.UNIQUE(Cleaned_Data!E2:E51)</f>
        <v>Electronics</v>
      </c>
      <c r="G23">
        <f>SUMIF(Cleaned_Data!E2:E51,F23,Cleaned_Data!H2:H51)</f>
        <v>1483600</v>
      </c>
      <c r="H23">
        <f>SUMIF(Cleaned_Data!E2:E51,F23,Cleaned_Data!J2:J51)</f>
        <v>262815.53999999998</v>
      </c>
    </row>
    <row r="24" spans="1:9">
      <c r="F24" t="str">
        <v>Furniture</v>
      </c>
      <c r="G24">
        <f>SUMIF(Cleaned_Data!E3:E52,F24,Cleaned_Data!H3:H52)</f>
        <v>413420</v>
      </c>
      <c r="H24">
        <f>SUMIF(Cleaned_Data!E3:E52,F24,Cleaned_Data!J3:J52)</f>
        <v>78423.170000000013</v>
      </c>
    </row>
    <row r="27" spans="1:9">
      <c r="F27" t="s">
        <v>3</v>
      </c>
      <c r="G27" t="s">
        <v>112</v>
      </c>
      <c r="H27" t="s">
        <v>113</v>
      </c>
    </row>
    <row r="28" spans="1:9">
      <c r="F28" t="str" cm="1">
        <f t="array" ref="F28:F32">_xlfn.UNIQUE(_xlfn._xlws.FILTER(TRIM(Cleaned_Data!D2:D51),TRIM(Cleaned_Data!D2:D51)&lt;&gt;""))</f>
        <v>North</v>
      </c>
      <c r="G28">
        <f>SUMIF(Cleaned_Data!D2:D51,F28,Cleaned_Data!H2:H51)</f>
        <v>359540</v>
      </c>
      <c r="H28">
        <f>SUMIF(Cleaned_Data!D2:D51,F28,Cleaned_Data!J2:J51)</f>
        <v>59597.009999999995</v>
      </c>
    </row>
    <row r="29" spans="1:9">
      <c r="F29" t="str">
        <v>South</v>
      </c>
      <c r="G29">
        <f>SUMIF(Cleaned_Data!D3:D52,F29,Cleaned_Data!H3:H52)</f>
        <v>398675</v>
      </c>
      <c r="H29">
        <f>SUMIF(Cleaned_Data!D3:D52,F29,Cleaned_Data!J3:J52)</f>
        <v>78068.02</v>
      </c>
    </row>
    <row r="30" spans="1:9">
      <c r="F30" t="str">
        <v>East</v>
      </c>
      <c r="G30">
        <f>SUMIF(Cleaned_Data!D4:D53,F30,Cleaned_Data!H4:H53)</f>
        <v>449275</v>
      </c>
      <c r="H30">
        <f>SUMIF(Cleaned_Data!D4:D53,F30,Cleaned_Data!J4:J53)</f>
        <v>87247.19</v>
      </c>
    </row>
    <row r="31" spans="1:9">
      <c r="F31" t="str">
        <v>West</v>
      </c>
      <c r="G31">
        <f>SUMIF(Cleaned_Data!D5:D54,F31,Cleaned_Data!H5:H54)</f>
        <v>384580</v>
      </c>
      <c r="H31">
        <f>SUMIF(Cleaned_Data!D5:D54,F31,Cleaned_Data!J5:J54)</f>
        <v>75400.850000000006</v>
      </c>
    </row>
    <row r="32" spans="1:9">
      <c r="F32" t="str">
        <v>Unknown</v>
      </c>
      <c r="G32">
        <f>SUMIF(Cleaned_Data!D6:D55,F32,Cleaned_Data!H6:H55)</f>
        <v>152000</v>
      </c>
      <c r="H32">
        <f>SUMIF(Cleaned_Data!D6:D55,F32,Cleaned_Data!J6:J55)</f>
        <v>15477.64</v>
      </c>
    </row>
    <row r="35" spans="6:12">
      <c r="F35" t="s">
        <v>2</v>
      </c>
      <c r="G35" t="s">
        <v>112</v>
      </c>
      <c r="H35" t="s">
        <v>113</v>
      </c>
      <c r="J35" t="s">
        <v>2</v>
      </c>
      <c r="K35" t="s">
        <v>112</v>
      </c>
      <c r="L35" t="s">
        <v>113</v>
      </c>
    </row>
    <row r="36" spans="6:12">
      <c r="F36" t="str" cm="1">
        <f t="array" ref="F36:F49">_xlfn.UNIQUE(Cleaned_Data!C2:C51)</f>
        <v>Rahul</v>
      </c>
      <c r="G36">
        <f>SUMIF(Cleaned_Data!C2:C51,F36,Cleaned_Data!H2:H51)</f>
        <v>166030</v>
      </c>
      <c r="H36">
        <f>SUMIF(Cleaned_Data!C2:C51,F36,Cleaned_Data!J2:J51)</f>
        <v>18361.95</v>
      </c>
      <c r="J36" t="str" cm="1">
        <f t="array" ref="J36:L49">_xlfn._xlws.SORT(F36:H49,2,-1)</f>
        <v>Rohan</v>
      </c>
      <c r="K36">
        <v>380500</v>
      </c>
      <c r="L36">
        <v>80181.73</v>
      </c>
    </row>
    <row r="37" spans="6:12">
      <c r="F37" t="str">
        <v>Fatima</v>
      </c>
      <c r="G37">
        <f>SUMIF(Cleaned_Data!C3:C52,F37,Cleaned_Data!H3:H52)</f>
        <v>241550</v>
      </c>
      <c r="H37">
        <f>SUMIF(Cleaned_Data!C3:C52,F37,Cleaned_Data!J3:J52)</f>
        <v>51136.630000000005</v>
      </c>
      <c r="J37" t="str">
        <v>Zoya</v>
      </c>
      <c r="K37">
        <v>339565</v>
      </c>
      <c r="L37">
        <v>70125.760000000009</v>
      </c>
    </row>
    <row r="38" spans="6:12">
      <c r="F38" t="str">
        <v>Arjun</v>
      </c>
      <c r="G38">
        <f>SUMIF(Cleaned_Data!C4:C53,F38,Cleaned_Data!H4:H53)</f>
        <v>24055</v>
      </c>
      <c r="H38">
        <f>SUMIF(Cleaned_Data!C4:C53,F38,Cleaned_Data!J4:J53)</f>
        <v>2794.53</v>
      </c>
      <c r="J38" t="str">
        <v>Sara</v>
      </c>
      <c r="K38">
        <v>284350</v>
      </c>
      <c r="L38">
        <v>61273.85</v>
      </c>
    </row>
    <row r="39" spans="6:12">
      <c r="F39" t="str">
        <v>Priya</v>
      </c>
      <c r="G39">
        <f>SUMIF(Cleaned_Data!C5:C54,F39,Cleaned_Data!H5:H54)</f>
        <v>151270</v>
      </c>
      <c r="H39">
        <f>SUMIF(Cleaned_Data!C5:C54,F39,Cleaned_Data!J5:J54)</f>
        <v>15880.6</v>
      </c>
      <c r="J39" t="str">
        <v>Fatima</v>
      </c>
      <c r="K39">
        <v>241550</v>
      </c>
      <c r="L39">
        <v>51136.630000000005</v>
      </c>
    </row>
    <row r="40" spans="6:12">
      <c r="F40" t="str">
        <v>Sneha</v>
      </c>
      <c r="G40">
        <f>SUMIF(Cleaned_Data!C6:C55,F40,Cleaned_Data!H6:H55)</f>
        <v>35030</v>
      </c>
      <c r="H40">
        <f>SUMIF(Cleaned_Data!C6:C55,F40,Cleaned_Data!J6:J55)</f>
        <v>3816.5599999999995</v>
      </c>
      <c r="J40" t="str">
        <v>Rahul</v>
      </c>
      <c r="K40">
        <v>166030</v>
      </c>
      <c r="L40">
        <v>18361.95</v>
      </c>
    </row>
    <row r="41" spans="6:12">
      <c r="F41" t="str">
        <v>Rohan</v>
      </c>
      <c r="G41">
        <f>SUMIF(Cleaned_Data!C7:C56,F41,Cleaned_Data!H7:H56)</f>
        <v>380500</v>
      </c>
      <c r="H41">
        <f>SUMIF(Cleaned_Data!C7:C56,F41,Cleaned_Data!J7:J56)</f>
        <v>80181.73</v>
      </c>
      <c r="J41" t="str">
        <v>Priya</v>
      </c>
      <c r="K41">
        <v>151270</v>
      </c>
      <c r="L41">
        <v>15880.6</v>
      </c>
    </row>
    <row r="42" spans="6:12">
      <c r="F42" t="str">
        <v>Ananya</v>
      </c>
      <c r="G42">
        <f>SUMIF(Cleaned_Data!C8:C57,F42,Cleaned_Data!H8:H57)</f>
        <v>100350</v>
      </c>
      <c r="H42">
        <f>SUMIF(Cleaned_Data!C8:C57,F42,Cleaned_Data!J8:J57)</f>
        <v>11902.41</v>
      </c>
      <c r="J42" t="str">
        <v>Ananya</v>
      </c>
      <c r="K42">
        <v>100350</v>
      </c>
      <c r="L42">
        <v>11902.41</v>
      </c>
    </row>
    <row r="43" spans="6:12">
      <c r="F43" t="str">
        <v>Neha</v>
      </c>
      <c r="G43">
        <f>SUMIF(Cleaned_Data!C9:C58,F43,Cleaned_Data!H9:H58)</f>
        <v>83570</v>
      </c>
      <c r="H43">
        <f>SUMIF(Cleaned_Data!C9:C58,F43,Cleaned_Data!J9:J58)</f>
        <v>9865.0800000000017</v>
      </c>
      <c r="J43" t="str">
        <v>Neha</v>
      </c>
      <c r="K43">
        <v>83570</v>
      </c>
      <c r="L43">
        <v>9865.0800000000017</v>
      </c>
    </row>
    <row r="44" spans="6:12">
      <c r="F44" t="str">
        <v>Unknown</v>
      </c>
      <c r="G44">
        <f>SUMIF(Cleaned_Data!C10:C59,F44,Cleaned_Data!H10:H59)</f>
        <v>24000</v>
      </c>
      <c r="H44">
        <f>SUMIF(Cleaned_Data!C10:C59,F44,Cleaned_Data!J10:J59)</f>
        <v>5592.54</v>
      </c>
      <c r="J44" t="str">
        <v>Aditya</v>
      </c>
      <c r="K44">
        <v>51750</v>
      </c>
      <c r="L44">
        <v>9081.77</v>
      </c>
    </row>
    <row r="45" spans="6:12">
      <c r="F45" t="str">
        <v>Aditya</v>
      </c>
      <c r="G45">
        <f>SUMIF(Cleaned_Data!C11:C60,F45,Cleaned_Data!H11:H60)</f>
        <v>51750</v>
      </c>
      <c r="H45">
        <f>SUMIF(Cleaned_Data!C11:C60,F45,Cleaned_Data!J11:J60)</f>
        <v>9081.77</v>
      </c>
      <c r="J45" t="str">
        <v>Sneha</v>
      </c>
      <c r="K45">
        <v>35030</v>
      </c>
      <c r="L45">
        <v>3816.5599999999995</v>
      </c>
    </row>
    <row r="46" spans="6:12">
      <c r="F46" t="str">
        <v>Zoya</v>
      </c>
      <c r="G46">
        <f>SUMIF(Cleaned_Data!C12:C61,F46,Cleaned_Data!H12:H61)</f>
        <v>339565</v>
      </c>
      <c r="H46">
        <f>SUMIF(Cleaned_Data!C12:C61,F46,Cleaned_Data!J12:J61)</f>
        <v>70125.760000000009</v>
      </c>
      <c r="J46" t="str">
        <v>Arjun</v>
      </c>
      <c r="K46">
        <v>24055</v>
      </c>
      <c r="L46">
        <v>2794.53</v>
      </c>
    </row>
    <row r="47" spans="6:12">
      <c r="F47" t="str">
        <v>Vikram</v>
      </c>
      <c r="G47">
        <f>SUMIF(Cleaned_Data!C13:C62,F47,Cleaned_Data!H13:H62)</f>
        <v>5000</v>
      </c>
      <c r="H47">
        <f>SUMIF(Cleaned_Data!C13:C62,F47,Cleaned_Data!J13:J62)</f>
        <v>687.37</v>
      </c>
      <c r="J47" t="str">
        <v>Unknown</v>
      </c>
      <c r="K47">
        <v>24000</v>
      </c>
      <c r="L47">
        <v>5592.54</v>
      </c>
    </row>
    <row r="48" spans="6:12">
      <c r="F48" t="str">
        <v>Sara</v>
      </c>
      <c r="G48">
        <f>SUMIF(Cleaned_Data!C14:C63,F48,Cleaned_Data!H14:H63)</f>
        <v>284350</v>
      </c>
      <c r="H48">
        <f>SUMIF(Cleaned_Data!C14:C63,F48,Cleaned_Data!J14:J63)</f>
        <v>61273.85</v>
      </c>
      <c r="J48" t="str">
        <v>Aisha</v>
      </c>
      <c r="K48">
        <v>10000</v>
      </c>
      <c r="L48">
        <v>537.92999999999995</v>
      </c>
    </row>
    <row r="49" spans="6:12">
      <c r="F49" t="str">
        <v>Aisha</v>
      </c>
      <c r="G49">
        <f>SUMIF(Cleaned_Data!C15:C64,F49,Cleaned_Data!H15:H64)</f>
        <v>10000</v>
      </c>
      <c r="H49">
        <f>SUMIF(Cleaned_Data!C15:C64,F49,Cleaned_Data!J15:J64)</f>
        <v>537.92999999999995</v>
      </c>
      <c r="J49" t="str">
        <v>Vikram</v>
      </c>
      <c r="K49">
        <v>5000</v>
      </c>
      <c r="L49">
        <v>687.37</v>
      </c>
    </row>
    <row r="52" spans="6:12">
      <c r="J52">
        <f>MAX(H36:H49)</f>
        <v>80181.73</v>
      </c>
    </row>
    <row r="53" spans="6:12">
      <c r="J53" t="str">
        <f>INDEX(F36:F49,MATCH(J52,H36:H49,0))</f>
        <v>Rohan</v>
      </c>
    </row>
    <row r="54" spans="6:12">
      <c r="J54" t="s">
        <v>114</v>
      </c>
      <c r="K54">
        <f>AVERAGE(G36:G49)</f>
        <v>135501.42857142858</v>
      </c>
    </row>
    <row r="57" spans="6:12">
      <c r="F57" t="s">
        <v>120</v>
      </c>
      <c r="G57" t="s">
        <v>112</v>
      </c>
      <c r="H57" t="s">
        <v>113</v>
      </c>
      <c r="I57" t="s">
        <v>121</v>
      </c>
    </row>
    <row r="58" spans="6:12">
      <c r="F58" s="7">
        <f>DATE(2026,1,1)</f>
        <v>46023</v>
      </c>
      <c r="G58">
        <f>SUMIFS(Cleaned_Data!H$2:H$51,Cleaned_Data!B$2:B$51,"&gt;="&amp;F58,Cleaned_Data!B$2:B$51,"&lt;"&amp;EDATE(F58,1))</f>
        <v>576350</v>
      </c>
      <c r="H58">
        <f>SUMIFS(Cleaned_Data!J$2:J$51,Cleaned_Data!B$2:B$51,"&gt;="&amp;F58,Cleaned_Data!B$2:B$51,"&lt;"&amp;EDATE(F58,1))</f>
        <v>110147.12000000001</v>
      </c>
      <c r="I58">
        <f>COUNTIFS(Cleaned_Data!B$2:B$51,"&gt;="&amp;F58,Cleaned_Data!B$2:B$51,"&lt;"&amp;EDATE(F58,1))</f>
        <v>7</v>
      </c>
    </row>
    <row r="59" spans="6:12">
      <c r="F59" s="7">
        <f>EDATE(F58,1)</f>
        <v>46054</v>
      </c>
      <c r="G59">
        <f>SUMIFS(Cleaned_Data!H$2:H$51,Cleaned_Data!B$2:B$51,"&gt;="&amp;F59,Cleaned_Data!B$2:B$51,"&lt;"&amp;EDATE(F59,1))</f>
        <v>129080</v>
      </c>
      <c r="H59">
        <f>SUMIFS(Cleaned_Data!J$2:J$51,Cleaned_Data!B$2:B$51,"&gt;="&amp;F59,Cleaned_Data!B$2:B$51,"&lt;"&amp;EDATE(F59,1))</f>
        <v>18471.28</v>
      </c>
      <c r="I59">
        <f>COUNTIFS(Cleaned_Data!B$2:B$51,"&gt;="&amp;F59,Cleaned_Data!B$2:B$51,"&lt;"&amp;EDATE(F59,1))</f>
        <v>6</v>
      </c>
    </row>
    <row r="60" spans="6:12">
      <c r="F60" s="7">
        <f t="shared" ref="F60:F63" si="0">EDATE(F59,1)</f>
        <v>46082</v>
      </c>
      <c r="G60">
        <f>SUMIFS(Cleaned_Data!H$2:H$51,Cleaned_Data!B$2:B$51,"&gt;="&amp;F60,Cleaned_Data!B$2:B$51,"&lt;"&amp;EDATE(F60,1))</f>
        <v>206925</v>
      </c>
      <c r="H60">
        <f>SUMIFS(Cleaned_Data!J$2:J$51,Cleaned_Data!B$2:B$51,"&gt;="&amp;F60,Cleaned_Data!B$2:B$51,"&lt;"&amp;EDATE(F60,1))</f>
        <v>31350.12</v>
      </c>
      <c r="I60">
        <f>COUNTIFS(Cleaned_Data!B$2:B$51,"&gt;="&amp;F60,Cleaned_Data!B$2:B$51,"&lt;"&amp;EDATE(F60,1))</f>
        <v>7</v>
      </c>
    </row>
    <row r="61" spans="6:12">
      <c r="F61" s="7">
        <f t="shared" si="0"/>
        <v>46113</v>
      </c>
      <c r="G61">
        <f>SUMIFS(Cleaned_Data!H$2:H$51,Cleaned_Data!B$2:B$51,"&gt;="&amp;F61,Cleaned_Data!B$2:B$51,"&lt;"&amp;EDATE(F61,1))</f>
        <v>280755</v>
      </c>
      <c r="H61">
        <f>SUMIFS(Cleaned_Data!J$2:J$51,Cleaned_Data!B$2:B$51,"&gt;="&amp;F61,Cleaned_Data!B$2:B$51,"&lt;"&amp;EDATE(F61,1))</f>
        <v>61627.030000000006</v>
      </c>
      <c r="I61">
        <f>COUNTIFS(Cleaned_Data!B$2:B$51,"&gt;="&amp;F61,Cleaned_Data!B$2:B$51,"&lt;"&amp;EDATE(F61,1))</f>
        <v>7</v>
      </c>
    </row>
    <row r="62" spans="6:12">
      <c r="F62" s="7">
        <f t="shared" si="0"/>
        <v>46143</v>
      </c>
      <c r="G62">
        <f>SUMIFS(Cleaned_Data!H$2:H$51,Cleaned_Data!B$2:B$51,"&gt;="&amp;F62,Cleaned_Data!B$2:B$51,"&lt;"&amp;EDATE(F62,1))</f>
        <v>460190</v>
      </c>
      <c r="H62">
        <f>SUMIFS(Cleaned_Data!J$2:J$51,Cleaned_Data!B$2:B$51,"&gt;="&amp;F62,Cleaned_Data!B$2:B$51,"&lt;"&amp;EDATE(F62,1))</f>
        <v>83992.2</v>
      </c>
      <c r="I62">
        <f>COUNTIFS(Cleaned_Data!B$2:B$51,"&gt;="&amp;F62,Cleaned_Data!B$2:B$51,"&lt;"&amp;EDATE(F62,1))</f>
        <v>17</v>
      </c>
    </row>
    <row r="63" spans="6:12">
      <c r="F63" s="7">
        <f t="shared" si="0"/>
        <v>46174</v>
      </c>
      <c r="G63">
        <f>SUMIFS(Cleaned_Data!H$2:H$51,Cleaned_Data!B$2:B$51,"&gt;="&amp;F63,Cleaned_Data!B$2:B$51,"&lt;"&amp;EDATE(F63,1))</f>
        <v>243720</v>
      </c>
      <c r="H63">
        <f>SUMIFS(Cleaned_Data!J$2:J$51,Cleaned_Data!B$2:B$51,"&gt;="&amp;F63,Cleaned_Data!B$2:B$51,"&lt;"&amp;EDATE(F63,1))</f>
        <v>35650.959999999999</v>
      </c>
      <c r="I63">
        <f>COUNTIFS(Cleaned_Data!B$2:B$51,"&gt;="&amp;F63,Cleaned_Data!B$2:B$51,"&lt;"&amp;EDATE(F63,1))</f>
        <v>6</v>
      </c>
    </row>
    <row r="66" spans="6:7">
      <c r="F66">
        <f>MAX(G58:G63)</f>
        <v>576350</v>
      </c>
    </row>
    <row r="67" spans="6:7">
      <c r="F67">
        <f>MIN(G58:G63)</f>
        <v>129080</v>
      </c>
    </row>
    <row r="68" spans="6:7">
      <c r="G68" s="7">
        <f>INDEX(F58:F63,MATCH(F66,G58:G63,0))</f>
        <v>46023</v>
      </c>
    </row>
    <row r="69" spans="6:7">
      <c r="G69" s="7">
        <f>INDEX(F58:F63,MATCH(F67,G58:G63,0))</f>
        <v>46054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432D-4D54-48EC-84B8-AE682CE67FC4}">
  <dimension ref="A1:G102"/>
  <sheetViews>
    <sheetView tabSelected="1" topLeftCell="A61" workbookViewId="0">
      <selection activeCell="A90" sqref="A90:B90"/>
    </sheetView>
  </sheetViews>
  <sheetFormatPr defaultRowHeight="15"/>
  <cols>
    <col min="1" max="1" width="16.28515625" customWidth="1"/>
    <col min="3" max="3" width="15" customWidth="1"/>
    <col min="5" max="5" width="15" customWidth="1"/>
    <col min="7" max="7" width="23" customWidth="1"/>
  </cols>
  <sheetData>
    <row r="1" spans="1:7" ht="21">
      <c r="A1" s="11" t="s">
        <v>122</v>
      </c>
      <c r="B1" s="12"/>
      <c r="C1" s="12"/>
      <c r="D1" s="12"/>
    </row>
    <row r="3" spans="1:7" ht="18.75">
      <c r="A3" s="13" t="s">
        <v>123</v>
      </c>
      <c r="B3" s="14"/>
      <c r="C3" s="14"/>
    </row>
    <row r="6" spans="1:7" ht="18.75">
      <c r="A6" s="8" t="s">
        <v>112</v>
      </c>
      <c r="C6" s="8" t="s">
        <v>113</v>
      </c>
      <c r="E6" s="8" t="s">
        <v>115</v>
      </c>
      <c r="G6" s="8" t="s">
        <v>124</v>
      </c>
    </row>
    <row r="7" spans="1:7" ht="18.75">
      <c r="A7" s="9">
        <f>SUM(Cleaned_Data!H2:H51)</f>
        <v>1897020</v>
      </c>
      <c r="C7" s="9">
        <f>SUM(Cleaned_Data!J2:J51)</f>
        <v>341238.71</v>
      </c>
      <c r="E7" s="10">
        <f>COUNTA(Cleaned_Data!A2:A51)</f>
        <v>50</v>
      </c>
      <c r="G7" s="9">
        <f>AVERAGE(Cleaned_Data!H2:H51)</f>
        <v>37940.400000000001</v>
      </c>
    </row>
    <row r="86" spans="1:4" ht="20.25">
      <c r="A86" s="15" t="s">
        <v>125</v>
      </c>
    </row>
    <row r="88" spans="1:4" ht="18.75">
      <c r="A88" s="16" t="s">
        <v>126</v>
      </c>
      <c r="B88" s="17"/>
    </row>
    <row r="90" spans="1:4" ht="18.75">
      <c r="A90" s="19" t="s">
        <v>127</v>
      </c>
      <c r="B90" s="20"/>
    </row>
    <row r="92" spans="1:4" ht="18.75">
      <c r="A92" s="18" t="s">
        <v>128</v>
      </c>
    </row>
    <row r="94" spans="1:4" ht="18.75">
      <c r="A94" s="19" t="s">
        <v>129</v>
      </c>
      <c r="B94" s="21"/>
      <c r="C94" s="20"/>
    </row>
    <row r="96" spans="1:4" ht="18.75">
      <c r="A96" s="19" t="s">
        <v>130</v>
      </c>
      <c r="B96" s="21"/>
      <c r="C96" s="21"/>
      <c r="D96" s="20"/>
    </row>
    <row r="98" spans="1:5" ht="18.75">
      <c r="A98" s="19" t="s">
        <v>131</v>
      </c>
      <c r="B98" s="21"/>
      <c r="C98" s="21"/>
      <c r="D98" s="21"/>
      <c r="E98" s="20"/>
    </row>
    <row r="100" spans="1:5" ht="18.75">
      <c r="A100" s="19" t="s">
        <v>132</v>
      </c>
      <c r="B100" s="21"/>
      <c r="C100" s="21"/>
      <c r="D100" s="21"/>
      <c r="E100" s="20"/>
    </row>
    <row r="102" spans="1:5" ht="18.75">
      <c r="A102" s="19" t="s">
        <v>133</v>
      </c>
      <c r="B102" s="21"/>
      <c r="C102" s="20"/>
    </row>
  </sheetData>
  <mergeCells count="9">
    <mergeCell ref="A98:E98"/>
    <mergeCell ref="A100:E100"/>
    <mergeCell ref="A102:C102"/>
    <mergeCell ref="A1:D1"/>
    <mergeCell ref="A3:C3"/>
    <mergeCell ref="A88:B88"/>
    <mergeCell ref="A90:B90"/>
    <mergeCell ref="A94:C94"/>
    <mergeCell ref="A96:D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2026-09-17T19:57:00Z</dcterms:created>
  <dcterms:modified xsi:type="dcterms:W3CDTF">2026-09-18T12:08:25Z</dcterms:modified>
  <cp:category/>
  <cp:contentStatus/>
</cp:coreProperties>
</file>